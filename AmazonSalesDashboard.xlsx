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riya\Downloads\"/>
    </mc:Choice>
  </mc:AlternateContent>
  <xr:revisionPtr revIDLastSave="0" documentId="13_ncr:1_{3D95DD15-0D1B-40FE-82C7-FECA948AC76C}" xr6:coauthVersionLast="47" xr6:coauthVersionMax="47" xr10:uidLastSave="{00000000-0000-0000-0000-000000000000}"/>
  <bookViews>
    <workbookView xWindow="-98" yWindow="-98" windowWidth="21795" windowHeight="13695" activeTab="5" xr2:uid="{00000000-000D-0000-FFFF-FFFF00000000}"/>
  </bookViews>
  <sheets>
    <sheet name="Sheet1" sheetId="2" r:id="rId1"/>
    <sheet name="Sheet2" sheetId="3" r:id="rId2"/>
    <sheet name="Sheet3" sheetId="6" r:id="rId3"/>
    <sheet name="Sheet4" sheetId="5" r:id="rId4"/>
    <sheet name="Sheet" sheetId="1" r:id="rId5"/>
    <sheet name="Sheet5" sheetId="7" r:id="rId6"/>
  </sheets>
  <definedNames>
    <definedName name="NativeTimeline_Order_Date">#N/A</definedName>
    <definedName name="Slicer_Column1">#N/A</definedName>
    <definedName name="Slicer_Country">#N/A</definedName>
    <definedName name="Slicer_Item_Type">#N/A</definedName>
    <definedName name="Slicer_Sales_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S2" i="7"/>
  <c r="D1" i="7"/>
  <c r="C1" i="7"/>
  <c r="B1" i="7"/>
</calcChain>
</file>

<file path=xl/sharedStrings.xml><?xml version="1.0" encoding="utf-8"?>
<sst xmlns="http://schemas.openxmlformats.org/spreadsheetml/2006/main" count="619" uniqueCount="143">
  <si>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</si>
  <si>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</si>
  <si>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</si>
  <si>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</si>
  <si>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</si>
  <si>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</si>
  <si>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</si>
  <si>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</si>
  <si>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</si>
  <si>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</si>
  <si>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</si>
  <si>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</si>
  <si>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</si>
  <si>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</si>
  <si>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</si>
  <si>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</si>
  <si>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</si>
  <si>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</si>
  <si>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</si>
  <si>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</si>
  <si>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</si>
  <si>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</si>
  <si>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</si>
  <si>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</si>
  <si>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</si>
  <si>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</si>
  <si>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</si>
  <si>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</si>
  <si>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</si>
  <si>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</si>
  <si>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</si>
  <si>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</si>
  <si>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</si>
  <si>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</si>
  <si>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</si>
  <si>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</si>
  <si>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</si>
  <si>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</si>
  <si>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</si>
  <si>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</si>
  <si>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</si>
  <si>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</si>
  <si>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</si>
  <si>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</si>
  <si>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</si>
  <si>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</si>
  <si>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</si>
  <si>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</si>
  <si>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</si>
  <si>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</si>
  <si>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</si>
  <si>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</si>
  <si>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</si>
  <si>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</si>
  <si>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</si>
  <si>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</si>
  <si>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</si>
  <si>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</si>
  <si>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</si>
  <si>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</si>
  <si>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</si>
  <si>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</si>
  <si>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</si>
  <si>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</si>
  <si>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</si>
  <si>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</si>
  <si>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</si>
  <si>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</si>
  <si>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</si>
  <si>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</si>
  <si>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</si>
  <si>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</si>
  <si>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</si>
  <si>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</si>
  <si>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</si>
  <si>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</si>
  <si>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</si>
  <si>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</si>
  <si>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</si>
  <si>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</si>
  <si>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</si>
  <si>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</si>
  <si>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</si>
  <si>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</si>
  <si>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</si>
  <si>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</si>
  <si>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</si>
  <si>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</si>
  <si>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</si>
  <si>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</si>
  <si>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</si>
  <si>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</si>
  <si>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</si>
  <si>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</si>
  <si>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</si>
  <si>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</si>
  <si>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</si>
  <si>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</si>
  <si>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</si>
  <si>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</si>
  <si>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</si>
  <si>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</si>
  <si>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</si>
  <si>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</si>
  <si>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</si>
  <si>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</si>
  <si>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</si>
  <si>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</si>
  <si>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</si>
  <si>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</si>
  <si>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</si>
  <si>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</si>
  <si>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</si>
  <si>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</si>
  <si>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Row Labels</t>
  </si>
  <si>
    <t>Grand Total</t>
  </si>
  <si>
    <t>2011</t>
  </si>
  <si>
    <t>2012</t>
  </si>
  <si>
    <t>2013</t>
  </si>
  <si>
    <t>2016</t>
  </si>
  <si>
    <t>2017</t>
  </si>
  <si>
    <t>Feb</t>
  </si>
  <si>
    <t>May</t>
  </si>
  <si>
    <t>Jun</t>
  </si>
  <si>
    <t>Oct</t>
  </si>
  <si>
    <t>Jul</t>
  </si>
  <si>
    <t>Aug</t>
  </si>
  <si>
    <t>Sum of Total Revenue</t>
  </si>
  <si>
    <t>Sum of Units Sold</t>
  </si>
  <si>
    <t>Region</t>
  </si>
  <si>
    <t>Sum of Total Cost</t>
  </si>
  <si>
    <t>Sum of Total Profit</t>
  </si>
  <si>
    <t>Average of Total Revenue</t>
  </si>
  <si>
    <t>Average of Total Profit</t>
  </si>
  <si>
    <t>2010</t>
  </si>
  <si>
    <t>Nov</t>
  </si>
  <si>
    <t>Dec</t>
  </si>
  <si>
    <t>Jan</t>
  </si>
  <si>
    <t>Apr</t>
  </si>
  <si>
    <t>Sep</t>
  </si>
  <si>
    <t>Mar</t>
  </si>
  <si>
    <t>2014</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</si>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</sst>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dd\-mm\-yyyy"/>
    <numFmt numFmtId="165" formatCode="_ * #,##0_ ;_ * \-#,##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43" fontId="0" fillId="0" borderId="0" xfId="0" applyNumberFormat="1"/>
    <xf numFmtId="165" fontId="0" fillId="0" borderId="0" xfId="1" applyNumberFormat="1" applyFont="1"/>
  </cellXfs>
  <cellStyles count="2">
    <cellStyle name="Comma" xfId="1" builtinId="3"/>
    <cellStyle name="Normal" xfId="0" builtinId="0"/>
  </cellStyles>
  <dxfs count="6">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s>
  <tableStyles count="0" defaultTableStyle="TableStyleMedium9" defaultPivotStyle="PivotStyleLight16"/>
  <colors>
    <mruColors>
      <color rgb="FFF8F7D7"/>
      <color rgb="FFEAFC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[AmazonSalesData_Date_Fixed_DD-MM-YYYY.xlsx]Sheet1!PivotTable1</c:name>
    <c:fmtId val="7"/>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5635885451865942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937180917329596E-3"/>
              <c:y val="-4.4016112569262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46542304153468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929063116510781"/>
          <c:y val="5.0705834655423547E-2"/>
          <c:w val="0.83738266727557631"/>
          <c:h val="0.63827756961889326"/>
        </c:manualLayout>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68EC-4F5B-8C8D-B042E4826055}"/>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68EC-4F5B-8C8D-B042E4826055}"/>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68EC-4F5B-8C8D-B042E4826055}"/>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68EC-4F5B-8C8D-B042E4826055}"/>
              </c:ext>
            </c:extLst>
          </c:dPt>
          <c:dPt>
            <c:idx val="1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DA47-46E4-AD80-EFE904C7F761}"/>
              </c:ext>
            </c:extLst>
          </c:dPt>
          <c:dPt>
            <c:idx val="1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DA47-46E4-AD80-EFE904C7F761}"/>
              </c:ext>
            </c:extLst>
          </c:dPt>
          <c:dPt>
            <c:idx val="1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DA47-46E4-AD80-EFE904C7F761}"/>
              </c:ext>
            </c:extLst>
          </c:dPt>
          <c:dPt>
            <c:idx val="1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DA47-46E4-AD80-EFE904C7F761}"/>
              </c:ext>
            </c:extLst>
          </c:dPt>
          <c:dPt>
            <c:idx val="1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DA47-46E4-AD80-EFE904C7F761}"/>
              </c:ext>
            </c:extLst>
          </c:dPt>
          <c:dPt>
            <c:idx val="2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DA47-46E4-AD80-EFE904C7F761}"/>
              </c:ext>
            </c:extLst>
          </c:dPt>
          <c:dPt>
            <c:idx val="2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DA47-46E4-AD80-EFE904C7F761}"/>
              </c:ext>
            </c:extLst>
          </c:dPt>
          <c:dPt>
            <c:idx val="2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DA47-46E4-AD80-EFE904C7F761}"/>
              </c:ext>
            </c:extLst>
          </c:dPt>
          <c:dPt>
            <c:idx val="2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DA47-46E4-AD80-EFE904C7F761}"/>
              </c:ext>
            </c:extLst>
          </c:dPt>
          <c:dPt>
            <c:idx val="2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DA47-46E4-AD80-EFE904C7F761}"/>
              </c:ext>
            </c:extLst>
          </c:dPt>
          <c:dPt>
            <c:idx val="2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DA47-46E4-AD80-EFE904C7F761}"/>
              </c:ext>
            </c:extLst>
          </c:dPt>
          <c:dPt>
            <c:idx val="2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DA47-46E4-AD80-EFE904C7F761}"/>
              </c:ext>
            </c:extLst>
          </c:dPt>
          <c:dPt>
            <c:idx val="2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DA47-46E4-AD80-EFE904C7F761}"/>
              </c:ext>
            </c:extLst>
          </c:dPt>
          <c:dPt>
            <c:idx val="2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D-DA47-46E4-AD80-EFE904C7F761}"/>
              </c:ext>
            </c:extLst>
          </c:dPt>
          <c:dPt>
            <c:idx val="3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E-DA47-46E4-AD80-EFE904C7F761}"/>
              </c:ext>
            </c:extLst>
          </c:dPt>
          <c:dPt>
            <c:idx val="3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F-DA47-46E4-AD80-EFE904C7F761}"/>
              </c:ext>
            </c:extLst>
          </c:dPt>
          <c:dPt>
            <c:idx val="3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0-DA47-46E4-AD80-EFE904C7F761}"/>
              </c:ext>
            </c:extLst>
          </c:dPt>
          <c:dPt>
            <c:idx val="4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1-DA47-46E4-AD80-EFE904C7F761}"/>
              </c:ext>
            </c:extLst>
          </c:dPt>
          <c:dPt>
            <c:idx val="5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2-DA47-46E4-AD80-EFE904C7F761}"/>
              </c:ext>
            </c:extLst>
          </c:dPt>
          <c:dPt>
            <c:idx val="5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3-DA47-46E4-AD80-EFE904C7F761}"/>
              </c:ext>
            </c:extLst>
          </c:dPt>
          <c:dPt>
            <c:idx val="5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4-DA47-46E4-AD80-EFE904C7F761}"/>
              </c:ext>
            </c:extLst>
          </c:dPt>
          <c:dPt>
            <c:idx val="5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5-DA47-46E4-AD80-EFE904C7F761}"/>
              </c:ext>
            </c:extLst>
          </c:dPt>
          <c:dPt>
            <c:idx val="5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6-DA47-46E4-AD80-EFE904C7F761}"/>
              </c:ext>
            </c:extLst>
          </c:dPt>
          <c:cat>
            <c:multiLvlStrRef>
              <c:f>Sheet1!$A$4:$A$72</c:f>
              <c:multiLvlStrCache>
                <c:ptCount val="60"/>
                <c:lvl>
                  <c:pt idx="0">
                    <c:v>Feb</c:v>
                  </c:pt>
                  <c:pt idx="1">
                    <c:v>May</c:v>
                  </c:pt>
                  <c:pt idx="2">
                    <c:v>Jun</c:v>
                  </c:pt>
                  <c:pt idx="3">
                    <c:v>Oct</c:v>
                  </c:pt>
                  <c:pt idx="4">
                    <c:v>Nov</c:v>
                  </c:pt>
                  <c:pt idx="5">
                    <c:v>Dec</c:v>
                  </c:pt>
                  <c:pt idx="6">
                    <c:v>Jan</c:v>
                  </c:pt>
                  <c:pt idx="7">
                    <c:v>Feb</c:v>
                  </c:pt>
                  <c:pt idx="8">
                    <c:v>Apr</c:v>
                  </c:pt>
                  <c:pt idx="9">
                    <c:v>May</c:v>
                  </c:pt>
                  <c:pt idx="10">
                    <c:v>Jun</c:v>
                  </c:pt>
                  <c:pt idx="11">
                    <c:v>Jul</c:v>
                  </c:pt>
                  <c:pt idx="12">
                    <c:v>Sep</c:v>
                  </c:pt>
                  <c:pt idx="13">
                    <c:v>Nov</c:v>
                  </c:pt>
                  <c:pt idx="14">
                    <c:v>Jan</c:v>
                  </c:pt>
                  <c:pt idx="15">
                    <c:v>Feb</c:v>
                  </c:pt>
                  <c:pt idx="16">
                    <c:v>Mar</c:v>
                  </c:pt>
                  <c:pt idx="17">
                    <c:v>Apr</c:v>
                  </c:pt>
                  <c:pt idx="18">
                    <c:v>May</c:v>
                  </c:pt>
                  <c:pt idx="19">
                    <c:v>Jun</c:v>
                  </c:pt>
                  <c:pt idx="20">
                    <c:v>Jul</c:v>
                  </c:pt>
                  <c:pt idx="21">
                    <c:v>Aug</c:v>
                  </c:pt>
                  <c:pt idx="22">
                    <c:v>Sep</c:v>
                  </c:pt>
                  <c:pt idx="23">
                    <c:v>Oct</c:v>
                  </c:pt>
                  <c:pt idx="24">
                    <c:v>Feb</c:v>
                  </c:pt>
                  <c:pt idx="25">
                    <c:v>Mar</c:v>
                  </c:pt>
                  <c:pt idx="26">
                    <c:v>Apr</c:v>
                  </c:pt>
                  <c:pt idx="27">
                    <c:v>Jun</c:v>
                  </c:pt>
                  <c:pt idx="28">
                    <c:v>Jul</c:v>
                  </c:pt>
                  <c:pt idx="29">
                    <c:v>Aug</c:v>
                  </c:pt>
                  <c:pt idx="30">
                    <c:v>Sep</c:v>
                  </c:pt>
                  <c:pt idx="31">
                    <c:v>Oct</c:v>
                  </c:pt>
                  <c:pt idx="32">
                    <c:v>Dec</c:v>
                  </c:pt>
                  <c:pt idx="33">
                    <c:v>Feb</c:v>
                  </c:pt>
                  <c:pt idx="34">
                    <c:v>Apr</c:v>
                  </c:pt>
                  <c:pt idx="35">
                    <c:v>May</c:v>
                  </c:pt>
                  <c:pt idx="36">
                    <c:v>Jun</c:v>
                  </c:pt>
                  <c:pt idx="37">
                    <c:v>Jul</c:v>
                  </c:pt>
                  <c:pt idx="38">
                    <c:v>Aug</c:v>
                  </c:pt>
                  <c:pt idx="39">
                    <c:v>Sep</c:v>
                  </c:pt>
                  <c:pt idx="40">
                    <c:v>Oct</c:v>
                  </c:pt>
                  <c:pt idx="41">
                    <c:v>Nov</c:v>
                  </c:pt>
                  <c:pt idx="42">
                    <c:v>Jan</c:v>
                  </c:pt>
                  <c:pt idx="43">
                    <c:v>Feb</c:v>
                  </c:pt>
                  <c:pt idx="44">
                    <c:v>Apr</c:v>
                  </c:pt>
                  <c:pt idx="45">
                    <c:v>Jul</c:v>
                  </c:pt>
                  <c:pt idx="46">
                    <c:v>Aug</c:v>
                  </c:pt>
                  <c:pt idx="47">
                    <c:v>Oct</c:v>
                  </c:pt>
                  <c:pt idx="48">
                    <c:v>Nov</c:v>
                  </c:pt>
                  <c:pt idx="49">
                    <c:v>Mar</c:v>
                  </c:pt>
                  <c:pt idx="50">
                    <c:v>May</c:v>
                  </c:pt>
                  <c:pt idx="51">
                    <c:v>Jun</c:v>
                  </c:pt>
                  <c:pt idx="52">
                    <c:v>Jul</c:v>
                  </c:pt>
                  <c:pt idx="53">
                    <c:v>Oct</c:v>
                  </c:pt>
                  <c:pt idx="54">
                    <c:v>Nov</c:v>
                  </c:pt>
                  <c:pt idx="55">
                    <c:v>Dec</c:v>
                  </c:pt>
                  <c:pt idx="56">
                    <c:v>Jan</c:v>
                  </c:pt>
                  <c:pt idx="57">
                    <c:v>Feb</c:v>
                  </c:pt>
                  <c:pt idx="58">
                    <c:v>Mar</c:v>
                  </c:pt>
                  <c:pt idx="59">
                    <c:v>May</c:v>
                  </c:pt>
                </c:lvl>
                <c:lvl>
                  <c:pt idx="0">
                    <c:v>2010</c:v>
                  </c:pt>
                  <c:pt idx="6">
                    <c:v>2011</c:v>
                  </c:pt>
                  <c:pt idx="14">
                    <c:v>2012</c:v>
                  </c:pt>
                  <c:pt idx="24">
                    <c:v>2013</c:v>
                  </c:pt>
                  <c:pt idx="33">
                    <c:v>2014</c:v>
                  </c:pt>
                  <c:pt idx="42">
                    <c:v>2015</c:v>
                  </c:pt>
                  <c:pt idx="49">
                    <c:v>2016</c:v>
                  </c:pt>
                  <c:pt idx="56">
                    <c:v>2017</c:v>
                  </c:pt>
                </c:lvl>
              </c:multiLvlStrCache>
            </c:multiLvlStrRef>
          </c:cat>
          <c:val>
            <c:numRef>
              <c:f>Sheet1!$B$4:$B$72</c:f>
              <c:numCache>
                <c:formatCode>_ * #,##0_ ;_ * \-#,##0_ ;_ * "-"??_ ;_ @_ </c:formatCode>
                <c:ptCount val="60"/>
                <c:pt idx="0">
                  <c:v>3410661.1199999996</c:v>
                </c:pt>
                <c:pt idx="1">
                  <c:v>2587973.2599999998</c:v>
                </c:pt>
                <c:pt idx="2">
                  <c:v>1082418.3999999999</c:v>
                </c:pt>
                <c:pt idx="3">
                  <c:v>6064933.75</c:v>
                </c:pt>
                <c:pt idx="4">
                  <c:v>3458252</c:v>
                </c:pt>
                <c:pt idx="5">
                  <c:v>2581786.39</c:v>
                </c:pt>
                <c:pt idx="6">
                  <c:v>1042225.3500000001</c:v>
                </c:pt>
                <c:pt idx="7">
                  <c:v>387002.2</c:v>
                </c:pt>
                <c:pt idx="8">
                  <c:v>2798046.49</c:v>
                </c:pt>
                <c:pt idx="9">
                  <c:v>272410.45</c:v>
                </c:pt>
                <c:pt idx="10">
                  <c:v>19103.439999999999</c:v>
                </c:pt>
                <c:pt idx="11">
                  <c:v>97040.639999999999</c:v>
                </c:pt>
                <c:pt idx="12">
                  <c:v>574951.92000000004</c:v>
                </c:pt>
                <c:pt idx="13">
                  <c:v>5938385.580000001</c:v>
                </c:pt>
                <c:pt idx="14">
                  <c:v>1012884</c:v>
                </c:pt>
                <c:pt idx="15">
                  <c:v>6707849.4199999999</c:v>
                </c:pt>
                <c:pt idx="16">
                  <c:v>994765.42</c:v>
                </c:pt>
                <c:pt idx="17">
                  <c:v>4556012.38</c:v>
                </c:pt>
                <c:pt idx="18">
                  <c:v>3782781.82</c:v>
                </c:pt>
                <c:pt idx="19">
                  <c:v>2132075.27</c:v>
                </c:pt>
                <c:pt idx="20">
                  <c:v>4445093.92</c:v>
                </c:pt>
                <c:pt idx="21">
                  <c:v>576782.80000000005</c:v>
                </c:pt>
                <c:pt idx="22">
                  <c:v>4648152.7200000007</c:v>
                </c:pt>
                <c:pt idx="23">
                  <c:v>3042246.7699999996</c:v>
                </c:pt>
                <c:pt idx="24">
                  <c:v>3296425.02</c:v>
                </c:pt>
                <c:pt idx="25">
                  <c:v>835759.1</c:v>
                </c:pt>
                <c:pt idx="26">
                  <c:v>3262562.1</c:v>
                </c:pt>
                <c:pt idx="27">
                  <c:v>1352867.4</c:v>
                </c:pt>
                <c:pt idx="28">
                  <c:v>8545511.1999999993</c:v>
                </c:pt>
                <c:pt idx="29">
                  <c:v>89623.98</c:v>
                </c:pt>
                <c:pt idx="30">
                  <c:v>71253.210000000006</c:v>
                </c:pt>
                <c:pt idx="31">
                  <c:v>2702770.4</c:v>
                </c:pt>
                <c:pt idx="32">
                  <c:v>173676.25</c:v>
                </c:pt>
                <c:pt idx="33">
                  <c:v>1819660.25</c:v>
                </c:pt>
                <c:pt idx="34">
                  <c:v>4510578.0999999996</c:v>
                </c:pt>
                <c:pt idx="35">
                  <c:v>3060338.59</c:v>
                </c:pt>
                <c:pt idx="36">
                  <c:v>75591.66</c:v>
                </c:pt>
                <c:pt idx="37">
                  <c:v>688641.85</c:v>
                </c:pt>
                <c:pt idx="38">
                  <c:v>455479.03999999998</c:v>
                </c:pt>
                <c:pt idx="39">
                  <c:v>20404.71</c:v>
                </c:pt>
                <c:pt idx="40">
                  <c:v>1352370.65</c:v>
                </c:pt>
                <c:pt idx="41">
                  <c:v>4647149.58</c:v>
                </c:pt>
                <c:pt idx="42">
                  <c:v>5513227.5</c:v>
                </c:pt>
                <c:pt idx="43">
                  <c:v>2003911.1199999999</c:v>
                </c:pt>
                <c:pt idx="44">
                  <c:v>1059987.26</c:v>
                </c:pt>
                <c:pt idx="45">
                  <c:v>1292409.45</c:v>
                </c:pt>
                <c:pt idx="46">
                  <c:v>6279.09</c:v>
                </c:pt>
                <c:pt idx="47">
                  <c:v>1904138.04</c:v>
                </c:pt>
                <c:pt idx="48">
                  <c:v>648030.4</c:v>
                </c:pt>
                <c:pt idx="49">
                  <c:v>197883.4</c:v>
                </c:pt>
                <c:pt idx="50">
                  <c:v>414371.1</c:v>
                </c:pt>
                <c:pt idx="51">
                  <c:v>568269.6</c:v>
                </c:pt>
                <c:pt idx="52">
                  <c:v>600821.43999999994</c:v>
                </c:pt>
                <c:pt idx="53">
                  <c:v>221117</c:v>
                </c:pt>
                <c:pt idx="54">
                  <c:v>5876405.1999999993</c:v>
                </c:pt>
                <c:pt idx="55">
                  <c:v>4493999.4799999995</c:v>
                </c:pt>
                <c:pt idx="56">
                  <c:v>2914130.27</c:v>
                </c:pt>
                <c:pt idx="57">
                  <c:v>7115008.6400000006</c:v>
                </c:pt>
                <c:pt idx="58">
                  <c:v>246415.95</c:v>
                </c:pt>
                <c:pt idx="59">
                  <c:v>3097864.77</c:v>
                </c:pt>
              </c:numCache>
            </c:numRef>
          </c:val>
          <c:smooth val="0"/>
          <c:extLst>
            <c:ext xmlns:c16="http://schemas.microsoft.com/office/drawing/2014/chart" uri="{C3380CC4-5D6E-409C-BE32-E72D297353CC}">
              <c16:uniqueId val="{00000002-BFDB-457E-81B9-82C64915358A}"/>
            </c:ext>
          </c:extLst>
        </c:ser>
        <c:dLbls>
          <c:showLegendKey val="0"/>
          <c:showVal val="0"/>
          <c:showCatName val="0"/>
          <c:showSerName val="0"/>
          <c:showPercent val="0"/>
          <c:showBubbleSize val="0"/>
        </c:dLbls>
        <c:marker val="1"/>
        <c:smooth val="0"/>
        <c:axId val="1411374432"/>
        <c:axId val="1363022928"/>
      </c:lineChart>
      <c:catAx>
        <c:axId val="141137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ysClr val="windowText" lastClr="000000"/>
                    </a:solidFill>
                  </a:rPr>
                  <a:t>Years</a:t>
                </a:r>
                <a:r>
                  <a:rPr lang="en-IN" b="1" u="sng" baseline="0">
                    <a:solidFill>
                      <a:sysClr val="windowText" lastClr="000000"/>
                    </a:solidFill>
                  </a:rPr>
                  <a:t> &amp; Months</a:t>
                </a:r>
                <a:endParaRPr lang="en-IN" b="1" u="sng">
                  <a:solidFill>
                    <a:sysClr val="windowText" lastClr="000000"/>
                  </a:solidFill>
                </a:endParaRPr>
              </a:p>
            </c:rich>
          </c:tx>
          <c:layout>
            <c:manualLayout>
              <c:xMode val="edge"/>
              <c:yMode val="edge"/>
              <c:x val="0.45028148165464293"/>
              <c:y val="0.875611364640284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3022928"/>
        <c:crosses val="autoZero"/>
        <c:auto val="1"/>
        <c:lblAlgn val="ctr"/>
        <c:lblOffset val="100"/>
        <c:noMultiLvlLbl val="0"/>
      </c:catAx>
      <c:valAx>
        <c:axId val="1363022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ysClr val="windowText" lastClr="000000"/>
                    </a:solidFill>
                  </a:rPr>
                  <a:t>Total</a:t>
                </a:r>
                <a:r>
                  <a:rPr lang="en-IN" b="1" u="sng" baseline="0">
                    <a:solidFill>
                      <a:sysClr val="windowText" lastClr="000000"/>
                    </a:solidFill>
                  </a:rPr>
                  <a:t> Revenue</a:t>
                </a:r>
                <a:endParaRPr lang="en-IN" b="1" u="sng">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137443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4.1666666666666664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tx2"/>
          </a:solidFill>
          <a:ln w="19050">
            <a:solidFill>
              <a:schemeClr val="lt1"/>
            </a:solidFill>
          </a:ln>
          <a:effectLst/>
        </c:spPr>
        <c:dLbl>
          <c:idx val="0"/>
          <c:layout>
            <c:manualLayout>
              <c:x val="8.3333333333333329E-2"/>
              <c:y val="-6.4814814814814811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6.6666666666666666E-2"/>
              <c:y val="-3.7037037037037125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spPr>
            <a:solidFill>
              <a:schemeClr val="accent6">
                <a:lumMod val="7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2-8752-42E2-8264-193B786E56B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8752-42E2-8264-193B786E56B9}"/>
              </c:ext>
            </c:extLst>
          </c:dPt>
          <c:dLbls>
            <c:dLbl>
              <c:idx val="0"/>
              <c:layout>
                <c:manualLayout>
                  <c:x val="8.3333333333333329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752-42E2-8264-193B786E56B9}"/>
                </c:ext>
              </c:extLst>
            </c:dLbl>
            <c:dLbl>
              <c:idx val="1"/>
              <c:layout>
                <c:manualLayout>
                  <c:x val="-6.6666666666666666E-2"/>
                  <c:y val="-3.7037037037037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752-42E2-8264-193B786E56B9}"/>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Sheet2!$A$4:$A$6</c:f>
              <c:strCache>
                <c:ptCount val="2"/>
                <c:pt idx="0">
                  <c:v>Offline</c:v>
                </c:pt>
                <c:pt idx="1">
                  <c:v>Online</c:v>
                </c:pt>
              </c:strCache>
            </c:strRef>
          </c:cat>
          <c:val>
            <c:numRef>
              <c:f>Sheet2!$B$4:$B$6</c:f>
              <c:numCache>
                <c:formatCode>General</c:formatCode>
                <c:ptCount val="2"/>
                <c:pt idx="0">
                  <c:v>276782</c:v>
                </c:pt>
                <c:pt idx="1">
                  <c:v>236089</c:v>
                </c:pt>
              </c:numCache>
            </c:numRef>
          </c:val>
          <c:extLst>
            <c:ext xmlns:c16="http://schemas.microsoft.com/office/drawing/2014/chart" uri="{C3380CC4-5D6E-409C-BE32-E72D297353CC}">
              <c16:uniqueId val="{00000000-8752-42E2-8264-193B786E56B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[AmazonSalesData_Date_Fixed_DD-MM-YYYY.xlsx]Sheet3!PivotTable1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Units Sold</c:v>
                </c:pt>
              </c:strCache>
            </c:strRef>
          </c:tx>
          <c:spPr>
            <a:solidFill>
              <a:schemeClr val="accent1"/>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Sheet3!$B$4:$B$16</c:f>
              <c:numCache>
                <c:formatCode>_(* #,##0.00_);_(* \(#,##0.00\);_(* "-"??_);_(@_)</c:formatCode>
                <c:ptCount val="12"/>
                <c:pt idx="0">
                  <c:v>40545</c:v>
                </c:pt>
                <c:pt idx="1">
                  <c:v>56708</c:v>
                </c:pt>
                <c:pt idx="2">
                  <c:v>25877</c:v>
                </c:pt>
                <c:pt idx="3">
                  <c:v>71260</c:v>
                </c:pt>
                <c:pt idx="4">
                  <c:v>83718</c:v>
                </c:pt>
                <c:pt idx="5">
                  <c:v>49998</c:v>
                </c:pt>
                <c:pt idx="6">
                  <c:v>44727</c:v>
                </c:pt>
                <c:pt idx="7">
                  <c:v>10675</c:v>
                </c:pt>
                <c:pt idx="8">
                  <c:v>46967</c:v>
                </c:pt>
                <c:pt idx="9">
                  <c:v>48708</c:v>
                </c:pt>
                <c:pt idx="10">
                  <c:v>13637</c:v>
                </c:pt>
                <c:pt idx="11">
                  <c:v>20051</c:v>
                </c:pt>
              </c:numCache>
            </c:numRef>
          </c:val>
          <c:extLst>
            <c:ext xmlns:c16="http://schemas.microsoft.com/office/drawing/2014/chart" uri="{C3380CC4-5D6E-409C-BE32-E72D297353CC}">
              <c16:uniqueId val="{00000000-03A6-4461-8C2A-908AEC1F83E4}"/>
            </c:ext>
          </c:extLst>
        </c:ser>
        <c:ser>
          <c:idx val="1"/>
          <c:order val="1"/>
          <c:tx>
            <c:strRef>
              <c:f>Sheet3!$C$3</c:f>
              <c:strCache>
                <c:ptCount val="1"/>
                <c:pt idx="0">
                  <c:v>Average of Total Revenue</c:v>
                </c:pt>
              </c:strCache>
            </c:strRef>
          </c:tx>
          <c:spPr>
            <a:solidFill>
              <a:schemeClr val="accent6">
                <a:lumMod val="75000"/>
              </a:schemeClr>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Sheet3!$C$4:$C$16</c:f>
              <c:numCache>
                <c:formatCode>_(* #,##0.00_);_(* \(#,##0.00\);_(* "-"??_);_(@_)</c:formatCode>
                <c:ptCount val="12"/>
                <c:pt idx="0">
                  <c:v>1478618.2285714285</c:v>
                </c:pt>
                <c:pt idx="1">
                  <c:v>336349.32500000001</c:v>
                </c:pt>
                <c:pt idx="2">
                  <c:v>760414.12857142859</c:v>
                </c:pt>
                <c:pt idx="3">
                  <c:v>599022.52307692287</c:v>
                </c:pt>
                <c:pt idx="4">
                  <c:v>2815500.7384615387</c:v>
                </c:pt>
                <c:pt idx="5">
                  <c:v>46648.134000000005</c:v>
                </c:pt>
                <c:pt idx="6">
                  <c:v>3321079.1433333326</c:v>
                </c:pt>
                <c:pt idx="7">
                  <c:v>2251837.875</c:v>
                </c:pt>
                <c:pt idx="8">
                  <c:v>2548781.6724999999</c:v>
                </c:pt>
                <c:pt idx="9">
                  <c:v>398090.48400000005</c:v>
                </c:pt>
                <c:pt idx="10">
                  <c:v>693577.82</c:v>
                </c:pt>
                <c:pt idx="11">
                  <c:v>514842.84333333332</c:v>
                </c:pt>
              </c:numCache>
            </c:numRef>
          </c:val>
          <c:extLst>
            <c:ext xmlns:c16="http://schemas.microsoft.com/office/drawing/2014/chart" uri="{C3380CC4-5D6E-409C-BE32-E72D297353CC}">
              <c16:uniqueId val="{00000001-03A6-4461-8C2A-908AEC1F83E4}"/>
            </c:ext>
          </c:extLst>
        </c:ser>
        <c:ser>
          <c:idx val="2"/>
          <c:order val="2"/>
          <c:tx>
            <c:strRef>
              <c:f>Sheet3!$D$3</c:f>
              <c:strCache>
                <c:ptCount val="1"/>
                <c:pt idx="0">
                  <c:v>Average of Total Profit</c:v>
                </c:pt>
              </c:strCache>
            </c:strRef>
          </c:tx>
          <c:spPr>
            <a:solidFill>
              <a:schemeClr val="accent3"/>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Sheet3!$D$4:$D$16</c:f>
              <c:numCache>
                <c:formatCode>_(* #,##0.00_);_(* \(#,##0.00\);_(* "-"??_);_(@_)</c:formatCode>
                <c:ptCount val="12"/>
                <c:pt idx="0">
                  <c:v>555234.8142857143</c:v>
                </c:pt>
                <c:pt idx="1">
                  <c:v>111005.90999999999</c:v>
                </c:pt>
                <c:pt idx="2">
                  <c:v>327491.91857142851</c:v>
                </c:pt>
                <c:pt idx="3">
                  <c:v>402564.18461538467</c:v>
                </c:pt>
                <c:pt idx="4">
                  <c:v>1119696.0507692308</c:v>
                </c:pt>
                <c:pt idx="5">
                  <c:v>12049.518</c:v>
                </c:pt>
                <c:pt idx="6">
                  <c:v>823622.8566666668</c:v>
                </c:pt>
                <c:pt idx="7">
                  <c:v>305305</c:v>
                </c:pt>
                <c:pt idx="8">
                  <c:v>494131.97916666669</c:v>
                </c:pt>
                <c:pt idx="9">
                  <c:v>122062.24799999999</c:v>
                </c:pt>
                <c:pt idx="10">
                  <c:v>250648.06000000003</c:v>
                </c:pt>
                <c:pt idx="11">
                  <c:v>210969.93833333335</c:v>
                </c:pt>
              </c:numCache>
            </c:numRef>
          </c:val>
          <c:extLst>
            <c:ext xmlns:c16="http://schemas.microsoft.com/office/drawing/2014/chart" uri="{C3380CC4-5D6E-409C-BE32-E72D297353CC}">
              <c16:uniqueId val="{00000002-03A6-4461-8C2A-908AEC1F83E4}"/>
            </c:ext>
          </c:extLst>
        </c:ser>
        <c:dLbls>
          <c:showLegendKey val="0"/>
          <c:showVal val="0"/>
          <c:showCatName val="0"/>
          <c:showSerName val="0"/>
          <c:showPercent val="0"/>
          <c:showBubbleSize val="0"/>
        </c:dLbls>
        <c:gapWidth val="219"/>
        <c:overlap val="-27"/>
        <c:axId val="2015095775"/>
        <c:axId val="88672815"/>
      </c:barChart>
      <c:catAx>
        <c:axId val="2015095775"/>
        <c:scaling>
          <c:orientation val="minMax"/>
        </c:scaling>
        <c:delete val="0"/>
        <c:axPos val="b"/>
        <c:title>
          <c:tx>
            <c:rich>
              <a:bodyPr rot="0" spcFirstLastPara="1" vertOverflow="ellipsis" vert="horz" wrap="square" anchor="ctr" anchorCtr="1"/>
              <a:lstStyle/>
              <a:p>
                <a:pPr>
                  <a:defRPr sz="1000" b="0" i="0" u="sng" strike="noStrike" kern="1200" baseline="0">
                    <a:solidFill>
                      <a:schemeClr val="tx1">
                        <a:lumMod val="65000"/>
                        <a:lumOff val="35000"/>
                      </a:schemeClr>
                    </a:solidFill>
                    <a:latin typeface="+mn-lt"/>
                    <a:ea typeface="+mn-ea"/>
                    <a:cs typeface="+mn-cs"/>
                  </a:defRPr>
                </a:pPr>
                <a:r>
                  <a:rPr lang="en-IN" b="1" u="sng">
                    <a:solidFill>
                      <a:sysClr val="windowText" lastClr="000000"/>
                    </a:solidFill>
                  </a:rPr>
                  <a:t>Product</a:t>
                </a:r>
                <a:r>
                  <a:rPr lang="en-IN" b="1" u="sng" baseline="0">
                    <a:solidFill>
                      <a:sysClr val="windowText" lastClr="000000"/>
                    </a:solidFill>
                  </a:rPr>
                  <a:t> Category</a:t>
                </a:r>
                <a:endParaRPr lang="en-IN"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sng"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672815"/>
        <c:crosses val="autoZero"/>
        <c:auto val="1"/>
        <c:lblAlgn val="ctr"/>
        <c:lblOffset val="100"/>
        <c:noMultiLvlLbl val="0"/>
      </c:catAx>
      <c:valAx>
        <c:axId val="88672815"/>
        <c:scaling>
          <c:orientation val="minMax"/>
        </c:scaling>
        <c:delete val="0"/>
        <c:axPos val="l"/>
        <c:title>
          <c:tx>
            <c:rich>
              <a:bodyPr rot="-5400000" spcFirstLastPara="1" vertOverflow="ellipsis" vert="horz" wrap="square" anchor="ctr" anchorCtr="1"/>
              <a:lstStyle/>
              <a:p>
                <a:pPr>
                  <a:defRPr sz="1000" b="0" i="0" u="sng" strike="noStrike" kern="1200" baseline="0">
                    <a:solidFill>
                      <a:sysClr val="windowText" lastClr="000000"/>
                    </a:solidFill>
                    <a:latin typeface="+mn-lt"/>
                    <a:ea typeface="+mn-ea"/>
                    <a:cs typeface="+mn-cs"/>
                  </a:defRPr>
                </a:pPr>
                <a:r>
                  <a:rPr lang="en-IN" b="1" u="sng">
                    <a:solidFill>
                      <a:sysClr val="windowText" lastClr="000000"/>
                    </a:solidFill>
                  </a:rPr>
                  <a:t>Value(Unit/Revenue/Profit</a:t>
                </a:r>
              </a:p>
            </c:rich>
          </c:tx>
          <c:overlay val="0"/>
          <c:spPr>
            <a:noFill/>
            <a:ln>
              <a:noFill/>
            </a:ln>
            <a:effectLst/>
          </c:spPr>
          <c:txPr>
            <a:bodyPr rot="-5400000" spcFirstLastPara="1" vertOverflow="ellipsis" vert="horz" wrap="square" anchor="ctr" anchorCtr="1"/>
            <a:lstStyle/>
            <a:p>
              <a:pPr>
                <a:defRPr sz="1000" b="0" i="0" u="sng"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5095775"/>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4223362400203"/>
          <c:y val="4.6701076332279927E-2"/>
          <c:w val="0.68555362932389263"/>
          <c:h val="0.81622572843665242"/>
        </c:manualLayout>
      </c:layout>
      <c:barChart>
        <c:barDir val="bar"/>
        <c:grouping val="clustered"/>
        <c:varyColors val="0"/>
        <c:ser>
          <c:idx val="0"/>
          <c:order val="0"/>
          <c:tx>
            <c:strRef>
              <c:f>Sheet4!$B$3</c:f>
              <c:strCache>
                <c:ptCount val="1"/>
                <c:pt idx="0">
                  <c:v>Sum of Total Revenue</c:v>
                </c:pt>
              </c:strCache>
            </c:strRef>
          </c:tx>
          <c:spPr>
            <a:solidFill>
              <a:schemeClr val="accent1"/>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Sheet4!$B$4:$B$11</c:f>
              <c:numCache>
                <c:formatCode>_ * #,##0_ ;_ * \-#,##0_ ;_ * "-"??_ ;_ @_ </c:formatCode>
                <c:ptCount val="7"/>
                <c:pt idx="0">
                  <c:v>39672031.430000007</c:v>
                </c:pt>
                <c:pt idx="1">
                  <c:v>33368932.109999999</c:v>
                </c:pt>
                <c:pt idx="2">
                  <c:v>21347091.020000003</c:v>
                </c:pt>
                <c:pt idx="3">
                  <c:v>14094265.130000003</c:v>
                </c:pt>
                <c:pt idx="4">
                  <c:v>14052706.58</c:v>
                </c:pt>
                <c:pt idx="5">
                  <c:v>9170385.4900000002</c:v>
                </c:pt>
                <c:pt idx="6">
                  <c:v>5643356.5500000007</c:v>
                </c:pt>
              </c:numCache>
            </c:numRef>
          </c:val>
          <c:extLst>
            <c:ext xmlns:c16="http://schemas.microsoft.com/office/drawing/2014/chart" uri="{C3380CC4-5D6E-409C-BE32-E72D297353CC}">
              <c16:uniqueId val="{00000000-8C7E-44E4-86AE-0881F6690985}"/>
            </c:ext>
          </c:extLst>
        </c:ser>
        <c:ser>
          <c:idx val="1"/>
          <c:order val="1"/>
          <c:tx>
            <c:strRef>
              <c:f>Sheet4!$C$3</c:f>
              <c:strCache>
                <c:ptCount val="1"/>
                <c:pt idx="0">
                  <c:v>Sum of Total Cost</c:v>
                </c:pt>
              </c:strCache>
            </c:strRef>
          </c:tx>
          <c:spPr>
            <a:solidFill>
              <a:schemeClr val="accent6">
                <a:lumMod val="75000"/>
              </a:schemeClr>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Sheet4!$C$4:$C$11</c:f>
              <c:numCache>
                <c:formatCode>_ * #,##0_ ;_ * \-#,##0_ ;_ * "-"??_ ;_ @_ </c:formatCode>
                <c:ptCount val="7"/>
                <c:pt idx="0">
                  <c:v>27488820.030000005</c:v>
                </c:pt>
                <c:pt idx="1">
                  <c:v>22285993.479999997</c:v>
                </c:pt>
                <c:pt idx="2">
                  <c:v>15233245.149999999</c:v>
                </c:pt>
                <c:pt idx="3">
                  <c:v>9372105.0999999996</c:v>
                </c:pt>
                <c:pt idx="4">
                  <c:v>8291514.7200000007</c:v>
                </c:pt>
                <c:pt idx="5">
                  <c:v>6323477.6400000015</c:v>
                </c:pt>
                <c:pt idx="6">
                  <c:v>4185413.7900000005</c:v>
                </c:pt>
              </c:numCache>
            </c:numRef>
          </c:val>
          <c:extLst>
            <c:ext xmlns:c16="http://schemas.microsoft.com/office/drawing/2014/chart" uri="{C3380CC4-5D6E-409C-BE32-E72D297353CC}">
              <c16:uniqueId val="{00000001-8C7E-44E4-86AE-0881F6690985}"/>
            </c:ext>
          </c:extLst>
        </c:ser>
        <c:ser>
          <c:idx val="2"/>
          <c:order val="2"/>
          <c:tx>
            <c:strRef>
              <c:f>Sheet4!$D$3</c:f>
              <c:strCache>
                <c:ptCount val="1"/>
                <c:pt idx="0">
                  <c:v>Sum of Total Profit</c:v>
                </c:pt>
              </c:strCache>
            </c:strRef>
          </c:tx>
          <c:spPr>
            <a:solidFill>
              <a:schemeClr val="accent3">
                <a:lumMod val="60000"/>
                <a:lumOff val="40000"/>
              </a:schemeClr>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Sheet4!$D$4:$D$11</c:f>
              <c:numCache>
                <c:formatCode>_ * #,##0_ ;_ * \-#,##0_ ;_ * "-"??_ ;_ @_ </c:formatCode>
                <c:ptCount val="7"/>
                <c:pt idx="0">
                  <c:v>12183211.400000004</c:v>
                </c:pt>
                <c:pt idx="1">
                  <c:v>11082938.629999999</c:v>
                </c:pt>
                <c:pt idx="2">
                  <c:v>6113845.8700000001</c:v>
                </c:pt>
                <c:pt idx="3">
                  <c:v>4722160.03</c:v>
                </c:pt>
                <c:pt idx="4">
                  <c:v>5761191.8599999994</c:v>
                </c:pt>
                <c:pt idx="5">
                  <c:v>2846907.85</c:v>
                </c:pt>
                <c:pt idx="6">
                  <c:v>1457942.76</c:v>
                </c:pt>
              </c:numCache>
            </c:numRef>
          </c:val>
          <c:extLst>
            <c:ext xmlns:c16="http://schemas.microsoft.com/office/drawing/2014/chart" uri="{C3380CC4-5D6E-409C-BE32-E72D297353CC}">
              <c16:uniqueId val="{00000002-8C7E-44E4-86AE-0881F6690985}"/>
            </c:ext>
          </c:extLst>
        </c:ser>
        <c:dLbls>
          <c:showLegendKey val="0"/>
          <c:showVal val="0"/>
          <c:showCatName val="0"/>
          <c:showSerName val="0"/>
          <c:showPercent val="0"/>
          <c:showBubbleSize val="0"/>
        </c:dLbls>
        <c:gapWidth val="61"/>
        <c:axId val="1476373392"/>
        <c:axId val="1481968144"/>
      </c:barChart>
      <c:catAx>
        <c:axId val="1476373392"/>
        <c:scaling>
          <c:orientation val="minMax"/>
        </c:scaling>
        <c:delete val="0"/>
        <c:axPos val="l"/>
        <c:numFmt formatCode="General" sourceLinked="1"/>
        <c:majorTickMark val="out"/>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1968144"/>
        <c:crosses val="autoZero"/>
        <c:auto val="1"/>
        <c:lblAlgn val="ctr"/>
        <c:lblOffset val="100"/>
        <c:noMultiLvlLbl val="0"/>
      </c:catAx>
      <c:valAx>
        <c:axId val="1481968144"/>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637339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[AmazonSalesData_Date_Fixed_DD-MM-YYYY.xlsx]Sheet3!PivotTable1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2114680920361"/>
          <c:y val="5.6194125159642401E-2"/>
          <c:w val="0.7586148629231565"/>
          <c:h val="0.62958819802697075"/>
        </c:manualLayout>
      </c:layout>
      <c:barChart>
        <c:barDir val="col"/>
        <c:grouping val="clustered"/>
        <c:varyColors val="0"/>
        <c:ser>
          <c:idx val="0"/>
          <c:order val="0"/>
          <c:tx>
            <c:strRef>
              <c:f>Sheet3!$B$3</c:f>
              <c:strCache>
                <c:ptCount val="1"/>
                <c:pt idx="0">
                  <c:v>Sum of Units Sold</c:v>
                </c:pt>
              </c:strCache>
            </c:strRef>
          </c:tx>
          <c:spPr>
            <a:solidFill>
              <a:schemeClr val="accent1"/>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Sheet3!$B$4:$B$16</c:f>
              <c:numCache>
                <c:formatCode>_(* #,##0.00_);_(* \(#,##0.00\);_(* "-"??_);_(@_)</c:formatCode>
                <c:ptCount val="12"/>
                <c:pt idx="0">
                  <c:v>40545</c:v>
                </c:pt>
                <c:pt idx="1">
                  <c:v>56708</c:v>
                </c:pt>
                <c:pt idx="2">
                  <c:v>25877</c:v>
                </c:pt>
                <c:pt idx="3">
                  <c:v>71260</c:v>
                </c:pt>
                <c:pt idx="4">
                  <c:v>83718</c:v>
                </c:pt>
                <c:pt idx="5">
                  <c:v>49998</c:v>
                </c:pt>
                <c:pt idx="6">
                  <c:v>44727</c:v>
                </c:pt>
                <c:pt idx="7">
                  <c:v>10675</c:v>
                </c:pt>
                <c:pt idx="8">
                  <c:v>46967</c:v>
                </c:pt>
                <c:pt idx="9">
                  <c:v>48708</c:v>
                </c:pt>
                <c:pt idx="10">
                  <c:v>13637</c:v>
                </c:pt>
                <c:pt idx="11">
                  <c:v>20051</c:v>
                </c:pt>
              </c:numCache>
            </c:numRef>
          </c:val>
          <c:extLst>
            <c:ext xmlns:c16="http://schemas.microsoft.com/office/drawing/2014/chart" uri="{C3380CC4-5D6E-409C-BE32-E72D297353CC}">
              <c16:uniqueId val="{00000000-D12C-4577-849C-12ED2F392C4B}"/>
            </c:ext>
          </c:extLst>
        </c:ser>
        <c:ser>
          <c:idx val="1"/>
          <c:order val="1"/>
          <c:tx>
            <c:strRef>
              <c:f>Sheet3!$C$3</c:f>
              <c:strCache>
                <c:ptCount val="1"/>
                <c:pt idx="0">
                  <c:v>Average of Total Revenue</c:v>
                </c:pt>
              </c:strCache>
            </c:strRef>
          </c:tx>
          <c:spPr>
            <a:solidFill>
              <a:schemeClr val="accent6">
                <a:lumMod val="75000"/>
              </a:schemeClr>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Sheet3!$C$4:$C$16</c:f>
              <c:numCache>
                <c:formatCode>_(* #,##0.00_);_(* \(#,##0.00\);_(* "-"??_);_(@_)</c:formatCode>
                <c:ptCount val="12"/>
                <c:pt idx="0">
                  <c:v>1478618.2285714285</c:v>
                </c:pt>
                <c:pt idx="1">
                  <c:v>336349.32500000001</c:v>
                </c:pt>
                <c:pt idx="2">
                  <c:v>760414.12857142859</c:v>
                </c:pt>
                <c:pt idx="3">
                  <c:v>599022.52307692287</c:v>
                </c:pt>
                <c:pt idx="4">
                  <c:v>2815500.7384615387</c:v>
                </c:pt>
                <c:pt idx="5">
                  <c:v>46648.134000000005</c:v>
                </c:pt>
                <c:pt idx="6">
                  <c:v>3321079.1433333326</c:v>
                </c:pt>
                <c:pt idx="7">
                  <c:v>2251837.875</c:v>
                </c:pt>
                <c:pt idx="8">
                  <c:v>2548781.6724999999</c:v>
                </c:pt>
                <c:pt idx="9">
                  <c:v>398090.48400000005</c:v>
                </c:pt>
                <c:pt idx="10">
                  <c:v>693577.82</c:v>
                </c:pt>
                <c:pt idx="11">
                  <c:v>514842.84333333332</c:v>
                </c:pt>
              </c:numCache>
            </c:numRef>
          </c:val>
          <c:extLst>
            <c:ext xmlns:c16="http://schemas.microsoft.com/office/drawing/2014/chart" uri="{C3380CC4-5D6E-409C-BE32-E72D297353CC}">
              <c16:uniqueId val="{00000001-D12C-4577-849C-12ED2F392C4B}"/>
            </c:ext>
          </c:extLst>
        </c:ser>
        <c:ser>
          <c:idx val="2"/>
          <c:order val="2"/>
          <c:tx>
            <c:strRef>
              <c:f>Sheet3!$D$3</c:f>
              <c:strCache>
                <c:ptCount val="1"/>
                <c:pt idx="0">
                  <c:v>Average of Total Profit</c:v>
                </c:pt>
              </c:strCache>
            </c:strRef>
          </c:tx>
          <c:spPr>
            <a:solidFill>
              <a:schemeClr val="accent3"/>
            </a:solidFill>
            <a:ln>
              <a:noFill/>
            </a:ln>
            <a:effectLst/>
          </c:spPr>
          <c:invertIfNegative val="0"/>
          <c:cat>
            <c:strRef>
              <c:f>Sheet3!$A$4:$A$16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Sheet3!$D$4:$D$16</c:f>
              <c:numCache>
                <c:formatCode>_(* #,##0.00_);_(* \(#,##0.00\);_(* "-"??_);_(@_)</c:formatCode>
                <c:ptCount val="12"/>
                <c:pt idx="0">
                  <c:v>555234.8142857143</c:v>
                </c:pt>
                <c:pt idx="1">
                  <c:v>111005.90999999999</c:v>
                </c:pt>
                <c:pt idx="2">
                  <c:v>327491.91857142851</c:v>
                </c:pt>
                <c:pt idx="3">
                  <c:v>402564.18461538467</c:v>
                </c:pt>
                <c:pt idx="4">
                  <c:v>1119696.0507692308</c:v>
                </c:pt>
                <c:pt idx="5">
                  <c:v>12049.518</c:v>
                </c:pt>
                <c:pt idx="6">
                  <c:v>823622.8566666668</c:v>
                </c:pt>
                <c:pt idx="7">
                  <c:v>305305</c:v>
                </c:pt>
                <c:pt idx="8">
                  <c:v>494131.97916666669</c:v>
                </c:pt>
                <c:pt idx="9">
                  <c:v>122062.24799999999</c:v>
                </c:pt>
                <c:pt idx="10">
                  <c:v>250648.06000000003</c:v>
                </c:pt>
                <c:pt idx="11">
                  <c:v>210969.93833333335</c:v>
                </c:pt>
              </c:numCache>
            </c:numRef>
          </c:val>
          <c:extLst>
            <c:ext xmlns:c16="http://schemas.microsoft.com/office/drawing/2014/chart" uri="{C3380CC4-5D6E-409C-BE32-E72D297353CC}">
              <c16:uniqueId val="{00000002-D12C-4577-849C-12ED2F392C4B}"/>
            </c:ext>
          </c:extLst>
        </c:ser>
        <c:dLbls>
          <c:showLegendKey val="0"/>
          <c:showVal val="0"/>
          <c:showCatName val="0"/>
          <c:showSerName val="0"/>
          <c:showPercent val="0"/>
          <c:showBubbleSize val="0"/>
        </c:dLbls>
        <c:gapWidth val="219"/>
        <c:overlap val="-27"/>
        <c:axId val="2015095775"/>
        <c:axId val="88672815"/>
      </c:barChart>
      <c:catAx>
        <c:axId val="2015095775"/>
        <c:scaling>
          <c:orientation val="minMax"/>
        </c:scaling>
        <c:delete val="0"/>
        <c:axPos val="b"/>
        <c:title>
          <c:tx>
            <c:rich>
              <a:bodyPr rot="0" spcFirstLastPara="1" vertOverflow="ellipsis" vert="horz" wrap="square" anchor="ctr" anchorCtr="1"/>
              <a:lstStyle/>
              <a:p>
                <a:pPr>
                  <a:defRPr sz="1000" b="0" i="0" u="sng" strike="noStrike" kern="1200" baseline="0">
                    <a:solidFill>
                      <a:schemeClr val="tx1">
                        <a:lumMod val="65000"/>
                        <a:lumOff val="35000"/>
                      </a:schemeClr>
                    </a:solidFill>
                    <a:latin typeface="+mn-lt"/>
                    <a:ea typeface="+mn-ea"/>
                    <a:cs typeface="+mn-cs"/>
                  </a:defRPr>
                </a:pPr>
                <a:r>
                  <a:rPr lang="en-IN" b="1" u="sng">
                    <a:solidFill>
                      <a:sysClr val="windowText" lastClr="000000"/>
                    </a:solidFill>
                  </a:rPr>
                  <a:t>Product</a:t>
                </a:r>
                <a:r>
                  <a:rPr lang="en-IN" b="1" u="sng" baseline="0">
                    <a:solidFill>
                      <a:sysClr val="windowText" lastClr="000000"/>
                    </a:solidFill>
                  </a:rPr>
                  <a:t> Category</a:t>
                </a:r>
                <a:endParaRPr lang="en-IN" b="1" u="sng">
                  <a:solidFill>
                    <a:sysClr val="windowText" lastClr="000000"/>
                  </a:solidFill>
                </a:endParaRPr>
              </a:p>
            </c:rich>
          </c:tx>
          <c:layout>
            <c:manualLayout>
              <c:xMode val="edge"/>
              <c:yMode val="edge"/>
              <c:x val="0.42358181504684178"/>
              <c:y val="0.90699852173650708"/>
            </c:manualLayout>
          </c:layout>
          <c:overlay val="0"/>
          <c:spPr>
            <a:noFill/>
            <a:ln>
              <a:noFill/>
            </a:ln>
            <a:effectLst/>
          </c:spPr>
          <c:txPr>
            <a:bodyPr rot="0" spcFirstLastPara="1" vertOverflow="ellipsis" vert="horz" wrap="square" anchor="ctr" anchorCtr="1"/>
            <a:lstStyle/>
            <a:p>
              <a:pPr>
                <a:defRPr sz="1000" b="0" i="0" u="sng"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672815"/>
        <c:crosses val="autoZero"/>
        <c:auto val="1"/>
        <c:lblAlgn val="ctr"/>
        <c:lblOffset val="100"/>
        <c:noMultiLvlLbl val="0"/>
      </c:catAx>
      <c:valAx>
        <c:axId val="88672815"/>
        <c:scaling>
          <c:orientation val="minMax"/>
        </c:scaling>
        <c:delete val="0"/>
        <c:axPos val="l"/>
        <c:title>
          <c:tx>
            <c:rich>
              <a:bodyPr rot="-5400000" spcFirstLastPara="1" vertOverflow="ellipsis" vert="horz" wrap="square" anchor="ctr" anchorCtr="1"/>
              <a:lstStyle/>
              <a:p>
                <a:pPr>
                  <a:defRPr sz="1000" b="0" i="0" u="sng" strike="noStrike" kern="1200" baseline="0">
                    <a:solidFill>
                      <a:sysClr val="windowText" lastClr="000000"/>
                    </a:solidFill>
                    <a:latin typeface="+mn-lt"/>
                    <a:ea typeface="+mn-ea"/>
                    <a:cs typeface="+mn-cs"/>
                  </a:defRPr>
                </a:pPr>
                <a:r>
                  <a:rPr lang="en-IN" b="1" u="sng">
                    <a:solidFill>
                      <a:sysClr val="windowText" lastClr="000000"/>
                    </a:solidFill>
                  </a:rPr>
                  <a:t>Value(Unit/Revenue/Profit</a:t>
                </a:r>
              </a:p>
            </c:rich>
          </c:tx>
          <c:overlay val="0"/>
          <c:spPr>
            <a:noFill/>
            <a:ln>
              <a:noFill/>
            </a:ln>
            <a:effectLst/>
          </c:spPr>
          <c:txPr>
            <a:bodyPr rot="-5400000" spcFirstLastPara="1" vertOverflow="ellipsis" vert="horz" wrap="square" anchor="ctr" anchorCtr="1"/>
            <a:lstStyle/>
            <a:p>
              <a:pPr>
                <a:defRPr sz="1000" b="0" i="0" u="sng" strike="noStrike" kern="1200" baseline="0">
                  <a:solidFill>
                    <a:sysClr val="windowText" lastClr="000000"/>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5095775"/>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[AmazonSalesData_Date_Fixed_DD-MM-YYYY.xlsx]Sheet4!PivotTable3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4223362400203"/>
          <c:y val="4.6701076332279927E-2"/>
          <c:w val="0.68555362932389263"/>
          <c:h val="0.81622572843665242"/>
        </c:manualLayout>
      </c:layout>
      <c:barChart>
        <c:barDir val="bar"/>
        <c:grouping val="clustered"/>
        <c:varyColors val="0"/>
        <c:ser>
          <c:idx val="0"/>
          <c:order val="0"/>
          <c:tx>
            <c:strRef>
              <c:f>Sheet4!$B$3</c:f>
              <c:strCache>
                <c:ptCount val="1"/>
                <c:pt idx="0">
                  <c:v>Sum of Total Revenue</c:v>
                </c:pt>
              </c:strCache>
            </c:strRef>
          </c:tx>
          <c:spPr>
            <a:solidFill>
              <a:schemeClr val="accent1"/>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Sheet4!$B$4:$B$11</c:f>
              <c:numCache>
                <c:formatCode>_ * #,##0_ ;_ * \-#,##0_ ;_ * "-"??_ ;_ @_ </c:formatCode>
                <c:ptCount val="7"/>
                <c:pt idx="0">
                  <c:v>39672031.430000007</c:v>
                </c:pt>
                <c:pt idx="1">
                  <c:v>33368932.109999999</c:v>
                </c:pt>
                <c:pt idx="2">
                  <c:v>21347091.020000003</c:v>
                </c:pt>
                <c:pt idx="3">
                  <c:v>14094265.130000003</c:v>
                </c:pt>
                <c:pt idx="4">
                  <c:v>14052706.58</c:v>
                </c:pt>
                <c:pt idx="5">
                  <c:v>9170385.4900000002</c:v>
                </c:pt>
                <c:pt idx="6">
                  <c:v>5643356.5500000007</c:v>
                </c:pt>
              </c:numCache>
            </c:numRef>
          </c:val>
          <c:extLst>
            <c:ext xmlns:c16="http://schemas.microsoft.com/office/drawing/2014/chart" uri="{C3380CC4-5D6E-409C-BE32-E72D297353CC}">
              <c16:uniqueId val="{00000000-001F-4ED7-BBAC-7AB069E21417}"/>
            </c:ext>
          </c:extLst>
        </c:ser>
        <c:ser>
          <c:idx val="1"/>
          <c:order val="1"/>
          <c:tx>
            <c:strRef>
              <c:f>Sheet4!$C$3</c:f>
              <c:strCache>
                <c:ptCount val="1"/>
                <c:pt idx="0">
                  <c:v>Sum of Total Cost</c:v>
                </c:pt>
              </c:strCache>
            </c:strRef>
          </c:tx>
          <c:spPr>
            <a:solidFill>
              <a:schemeClr val="accent6">
                <a:lumMod val="75000"/>
              </a:schemeClr>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Sheet4!$C$4:$C$11</c:f>
              <c:numCache>
                <c:formatCode>_ * #,##0_ ;_ * \-#,##0_ ;_ * "-"??_ ;_ @_ </c:formatCode>
                <c:ptCount val="7"/>
                <c:pt idx="0">
                  <c:v>27488820.030000005</c:v>
                </c:pt>
                <c:pt idx="1">
                  <c:v>22285993.479999997</c:v>
                </c:pt>
                <c:pt idx="2">
                  <c:v>15233245.149999999</c:v>
                </c:pt>
                <c:pt idx="3">
                  <c:v>9372105.0999999996</c:v>
                </c:pt>
                <c:pt idx="4">
                  <c:v>8291514.7200000007</c:v>
                </c:pt>
                <c:pt idx="5">
                  <c:v>6323477.6400000015</c:v>
                </c:pt>
                <c:pt idx="6">
                  <c:v>4185413.7900000005</c:v>
                </c:pt>
              </c:numCache>
            </c:numRef>
          </c:val>
          <c:extLst>
            <c:ext xmlns:c16="http://schemas.microsoft.com/office/drawing/2014/chart" uri="{C3380CC4-5D6E-409C-BE32-E72D297353CC}">
              <c16:uniqueId val="{00000001-001F-4ED7-BBAC-7AB069E21417}"/>
            </c:ext>
          </c:extLst>
        </c:ser>
        <c:ser>
          <c:idx val="2"/>
          <c:order val="2"/>
          <c:tx>
            <c:strRef>
              <c:f>Sheet4!$D$3</c:f>
              <c:strCache>
                <c:ptCount val="1"/>
                <c:pt idx="0">
                  <c:v>Sum of Total Profit</c:v>
                </c:pt>
              </c:strCache>
            </c:strRef>
          </c:tx>
          <c:spPr>
            <a:solidFill>
              <a:schemeClr val="accent3">
                <a:lumMod val="60000"/>
                <a:lumOff val="40000"/>
              </a:schemeClr>
            </a:solidFill>
            <a:ln>
              <a:noFill/>
            </a:ln>
            <a:effectLst/>
          </c:spPr>
          <c:invertIfNegative val="0"/>
          <c:cat>
            <c:strRef>
              <c:f>Sheet4!$A$4:$A$11</c:f>
              <c:strCache>
                <c:ptCount val="7"/>
                <c:pt idx="0">
                  <c:v>Sub-Saharan Africa</c:v>
                </c:pt>
                <c:pt idx="1">
                  <c:v>Europe</c:v>
                </c:pt>
                <c:pt idx="2">
                  <c:v>Asia</c:v>
                </c:pt>
                <c:pt idx="3">
                  <c:v>Australia and Oceania</c:v>
                </c:pt>
                <c:pt idx="4">
                  <c:v>Middle East and North Africa</c:v>
                </c:pt>
                <c:pt idx="5">
                  <c:v>Central America and the Caribbean</c:v>
                </c:pt>
                <c:pt idx="6">
                  <c:v>North America</c:v>
                </c:pt>
              </c:strCache>
            </c:strRef>
          </c:cat>
          <c:val>
            <c:numRef>
              <c:f>Sheet4!$D$4:$D$11</c:f>
              <c:numCache>
                <c:formatCode>_ * #,##0_ ;_ * \-#,##0_ ;_ * "-"??_ ;_ @_ </c:formatCode>
                <c:ptCount val="7"/>
                <c:pt idx="0">
                  <c:v>12183211.400000004</c:v>
                </c:pt>
                <c:pt idx="1">
                  <c:v>11082938.629999999</c:v>
                </c:pt>
                <c:pt idx="2">
                  <c:v>6113845.8700000001</c:v>
                </c:pt>
                <c:pt idx="3">
                  <c:v>4722160.03</c:v>
                </c:pt>
                <c:pt idx="4">
                  <c:v>5761191.8599999994</c:v>
                </c:pt>
                <c:pt idx="5">
                  <c:v>2846907.85</c:v>
                </c:pt>
                <c:pt idx="6">
                  <c:v>1457942.76</c:v>
                </c:pt>
              </c:numCache>
            </c:numRef>
          </c:val>
          <c:extLst>
            <c:ext xmlns:c16="http://schemas.microsoft.com/office/drawing/2014/chart" uri="{C3380CC4-5D6E-409C-BE32-E72D297353CC}">
              <c16:uniqueId val="{00000002-001F-4ED7-BBAC-7AB069E21417}"/>
            </c:ext>
          </c:extLst>
        </c:ser>
        <c:dLbls>
          <c:showLegendKey val="0"/>
          <c:showVal val="0"/>
          <c:showCatName val="0"/>
          <c:showSerName val="0"/>
          <c:showPercent val="0"/>
          <c:showBubbleSize val="0"/>
        </c:dLbls>
        <c:gapWidth val="61"/>
        <c:axId val="1476373392"/>
        <c:axId val="1481968144"/>
      </c:barChart>
      <c:catAx>
        <c:axId val="1476373392"/>
        <c:scaling>
          <c:orientation val="minMax"/>
        </c:scaling>
        <c:delete val="0"/>
        <c:axPos val="l"/>
        <c:numFmt formatCode="General" sourceLinked="1"/>
        <c:majorTickMark val="out"/>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1968144"/>
        <c:crosses val="autoZero"/>
        <c:auto val="1"/>
        <c:lblAlgn val="ctr"/>
        <c:lblOffset val="100"/>
        <c:noMultiLvlLbl val="0"/>
      </c:catAx>
      <c:valAx>
        <c:axId val="1481968144"/>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637339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[AmazonSalesData_Date_Fixed_DD-MM-YYYY.xlsx]Sheet2!PivotTable2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4.1666666666666664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tx2"/>
          </a:solidFill>
          <a:ln w="19050">
            <a:solidFill>
              <a:schemeClr val="lt1"/>
            </a:solidFill>
          </a:ln>
          <a:effectLst/>
        </c:spPr>
        <c:dLbl>
          <c:idx val="0"/>
          <c:layout>
            <c:manualLayout>
              <c:x val="8.3333333333333329E-2"/>
              <c:y val="-6.4814814814814811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6.6666666666666666E-2"/>
              <c:y val="-3.7037037037037125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solidFill>
          <a:ln w="19050">
            <a:solidFill>
              <a:schemeClr val="lt1"/>
            </a:solidFill>
          </a:ln>
          <a:effectLst/>
        </c:spPr>
        <c:dLbl>
          <c:idx val="0"/>
          <c:layout>
            <c:manualLayout>
              <c:x val="8.3333333333333329E-2"/>
              <c:y val="-6.4814814814814811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6.6666666666666666E-2"/>
              <c:y val="-3.7037037037037125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layout>
            <c:manualLayout>
              <c:x val="4.7169799641013149E-3"/>
              <c:y val="-5.40623147912963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1.8238989194525532E-2"/>
              <c:y val="-7.4671492676318729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spPr>
            <a:solidFill>
              <a:schemeClr val="accent6">
                <a:lumMod val="7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3C47-44B5-A2E4-A12C272A97B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C47-44B5-A2E4-A12C272A97BA}"/>
              </c:ext>
            </c:extLst>
          </c:dPt>
          <c:dLbls>
            <c:dLbl>
              <c:idx val="0"/>
              <c:layout>
                <c:manualLayout>
                  <c:x val="4.7169799641013149E-3"/>
                  <c:y val="-5.40623147912963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47-44B5-A2E4-A12C272A97BA}"/>
                </c:ext>
              </c:extLst>
            </c:dLbl>
            <c:dLbl>
              <c:idx val="1"/>
              <c:layout>
                <c:manualLayout>
                  <c:x val="1.8238989194525532E-2"/>
                  <c:y val="-7.46714926763187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47-44B5-A2E4-A12C272A97BA}"/>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Sheet2!$A$4:$A$6</c:f>
              <c:strCache>
                <c:ptCount val="2"/>
                <c:pt idx="0">
                  <c:v>Offline</c:v>
                </c:pt>
                <c:pt idx="1">
                  <c:v>Online</c:v>
                </c:pt>
              </c:strCache>
            </c:strRef>
          </c:cat>
          <c:val>
            <c:numRef>
              <c:f>Sheet2!$B$4:$B$6</c:f>
              <c:numCache>
                <c:formatCode>General</c:formatCode>
                <c:ptCount val="2"/>
                <c:pt idx="0">
                  <c:v>276782</c:v>
                </c:pt>
                <c:pt idx="1">
                  <c:v>236089</c:v>
                </c:pt>
              </c:numCache>
            </c:numRef>
          </c:val>
          <c:extLst>
            <c:ext xmlns:c16="http://schemas.microsoft.com/office/drawing/2014/chart" uri="{C3380CC4-5D6E-409C-BE32-E72D297353CC}">
              <c16:uniqueId val="{00000004-3C47-44B5-A2E4-A12C272A97B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[AmazonSalesData_Date_Fixed_DD-MM-YYYY.xlsx]Sheet1!PivotTable1</c:name>
    <c:fmtId val="14"/>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5635885451865942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937180917329596E-3"/>
              <c:y val="-4.4016112569262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46542304153468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9469841162839"/>
          <c:y val="5.0705834655423547E-2"/>
          <c:w val="0.82427860853941493"/>
          <c:h val="0.63827756961889326"/>
        </c:manualLayout>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Sheet1!$A$4:$A$72</c:f>
              <c:multiLvlStrCache>
                <c:ptCount val="60"/>
                <c:lvl>
                  <c:pt idx="0">
                    <c:v>Feb</c:v>
                  </c:pt>
                  <c:pt idx="1">
                    <c:v>May</c:v>
                  </c:pt>
                  <c:pt idx="2">
                    <c:v>Jun</c:v>
                  </c:pt>
                  <c:pt idx="3">
                    <c:v>Oct</c:v>
                  </c:pt>
                  <c:pt idx="4">
                    <c:v>Nov</c:v>
                  </c:pt>
                  <c:pt idx="5">
                    <c:v>Dec</c:v>
                  </c:pt>
                  <c:pt idx="6">
                    <c:v>Jan</c:v>
                  </c:pt>
                  <c:pt idx="7">
                    <c:v>Feb</c:v>
                  </c:pt>
                  <c:pt idx="8">
                    <c:v>Apr</c:v>
                  </c:pt>
                  <c:pt idx="9">
                    <c:v>May</c:v>
                  </c:pt>
                  <c:pt idx="10">
                    <c:v>Jun</c:v>
                  </c:pt>
                  <c:pt idx="11">
                    <c:v>Jul</c:v>
                  </c:pt>
                  <c:pt idx="12">
                    <c:v>Sep</c:v>
                  </c:pt>
                  <c:pt idx="13">
                    <c:v>Nov</c:v>
                  </c:pt>
                  <c:pt idx="14">
                    <c:v>Jan</c:v>
                  </c:pt>
                  <c:pt idx="15">
                    <c:v>Feb</c:v>
                  </c:pt>
                  <c:pt idx="16">
                    <c:v>Mar</c:v>
                  </c:pt>
                  <c:pt idx="17">
                    <c:v>Apr</c:v>
                  </c:pt>
                  <c:pt idx="18">
                    <c:v>May</c:v>
                  </c:pt>
                  <c:pt idx="19">
                    <c:v>Jun</c:v>
                  </c:pt>
                  <c:pt idx="20">
                    <c:v>Jul</c:v>
                  </c:pt>
                  <c:pt idx="21">
                    <c:v>Aug</c:v>
                  </c:pt>
                  <c:pt idx="22">
                    <c:v>Sep</c:v>
                  </c:pt>
                  <c:pt idx="23">
                    <c:v>Oct</c:v>
                  </c:pt>
                  <c:pt idx="24">
                    <c:v>Feb</c:v>
                  </c:pt>
                  <c:pt idx="25">
                    <c:v>Mar</c:v>
                  </c:pt>
                  <c:pt idx="26">
                    <c:v>Apr</c:v>
                  </c:pt>
                  <c:pt idx="27">
                    <c:v>Jun</c:v>
                  </c:pt>
                  <c:pt idx="28">
                    <c:v>Jul</c:v>
                  </c:pt>
                  <c:pt idx="29">
                    <c:v>Aug</c:v>
                  </c:pt>
                  <c:pt idx="30">
                    <c:v>Sep</c:v>
                  </c:pt>
                  <c:pt idx="31">
                    <c:v>Oct</c:v>
                  </c:pt>
                  <c:pt idx="32">
                    <c:v>Dec</c:v>
                  </c:pt>
                  <c:pt idx="33">
                    <c:v>Feb</c:v>
                  </c:pt>
                  <c:pt idx="34">
                    <c:v>Apr</c:v>
                  </c:pt>
                  <c:pt idx="35">
                    <c:v>May</c:v>
                  </c:pt>
                  <c:pt idx="36">
                    <c:v>Jun</c:v>
                  </c:pt>
                  <c:pt idx="37">
                    <c:v>Jul</c:v>
                  </c:pt>
                  <c:pt idx="38">
                    <c:v>Aug</c:v>
                  </c:pt>
                  <c:pt idx="39">
                    <c:v>Sep</c:v>
                  </c:pt>
                  <c:pt idx="40">
                    <c:v>Oct</c:v>
                  </c:pt>
                  <c:pt idx="41">
                    <c:v>Nov</c:v>
                  </c:pt>
                  <c:pt idx="42">
                    <c:v>Jan</c:v>
                  </c:pt>
                  <c:pt idx="43">
                    <c:v>Feb</c:v>
                  </c:pt>
                  <c:pt idx="44">
                    <c:v>Apr</c:v>
                  </c:pt>
                  <c:pt idx="45">
                    <c:v>Jul</c:v>
                  </c:pt>
                  <c:pt idx="46">
                    <c:v>Aug</c:v>
                  </c:pt>
                  <c:pt idx="47">
                    <c:v>Oct</c:v>
                  </c:pt>
                  <c:pt idx="48">
                    <c:v>Nov</c:v>
                  </c:pt>
                  <c:pt idx="49">
                    <c:v>Mar</c:v>
                  </c:pt>
                  <c:pt idx="50">
                    <c:v>May</c:v>
                  </c:pt>
                  <c:pt idx="51">
                    <c:v>Jun</c:v>
                  </c:pt>
                  <c:pt idx="52">
                    <c:v>Jul</c:v>
                  </c:pt>
                  <c:pt idx="53">
                    <c:v>Oct</c:v>
                  </c:pt>
                  <c:pt idx="54">
                    <c:v>Nov</c:v>
                  </c:pt>
                  <c:pt idx="55">
                    <c:v>Dec</c:v>
                  </c:pt>
                  <c:pt idx="56">
                    <c:v>Jan</c:v>
                  </c:pt>
                  <c:pt idx="57">
                    <c:v>Feb</c:v>
                  </c:pt>
                  <c:pt idx="58">
                    <c:v>Mar</c:v>
                  </c:pt>
                  <c:pt idx="59">
                    <c:v>May</c:v>
                  </c:pt>
                </c:lvl>
                <c:lvl>
                  <c:pt idx="0">
                    <c:v>2010</c:v>
                  </c:pt>
                  <c:pt idx="6">
                    <c:v>2011</c:v>
                  </c:pt>
                  <c:pt idx="14">
                    <c:v>2012</c:v>
                  </c:pt>
                  <c:pt idx="24">
                    <c:v>2013</c:v>
                  </c:pt>
                  <c:pt idx="33">
                    <c:v>2014</c:v>
                  </c:pt>
                  <c:pt idx="42">
                    <c:v>2015</c:v>
                  </c:pt>
                  <c:pt idx="49">
                    <c:v>2016</c:v>
                  </c:pt>
                  <c:pt idx="56">
                    <c:v>2017</c:v>
                  </c:pt>
                </c:lvl>
              </c:multiLvlStrCache>
            </c:multiLvlStrRef>
          </c:cat>
          <c:val>
            <c:numRef>
              <c:f>Sheet1!$B$4:$B$72</c:f>
              <c:numCache>
                <c:formatCode>_ * #,##0_ ;_ * \-#,##0_ ;_ * "-"??_ ;_ @_ </c:formatCode>
                <c:ptCount val="60"/>
                <c:pt idx="0">
                  <c:v>3410661.1199999996</c:v>
                </c:pt>
                <c:pt idx="1">
                  <c:v>2587973.2599999998</c:v>
                </c:pt>
                <c:pt idx="2">
                  <c:v>1082418.3999999999</c:v>
                </c:pt>
                <c:pt idx="3">
                  <c:v>6064933.75</c:v>
                </c:pt>
                <c:pt idx="4">
                  <c:v>3458252</c:v>
                </c:pt>
                <c:pt idx="5">
                  <c:v>2581786.39</c:v>
                </c:pt>
                <c:pt idx="6">
                  <c:v>1042225.3500000001</c:v>
                </c:pt>
                <c:pt idx="7">
                  <c:v>387002.2</c:v>
                </c:pt>
                <c:pt idx="8">
                  <c:v>2798046.49</c:v>
                </c:pt>
                <c:pt idx="9">
                  <c:v>272410.45</c:v>
                </c:pt>
                <c:pt idx="10">
                  <c:v>19103.439999999999</c:v>
                </c:pt>
                <c:pt idx="11">
                  <c:v>97040.639999999999</c:v>
                </c:pt>
                <c:pt idx="12">
                  <c:v>574951.92000000004</c:v>
                </c:pt>
                <c:pt idx="13">
                  <c:v>5938385.580000001</c:v>
                </c:pt>
                <c:pt idx="14">
                  <c:v>1012884</c:v>
                </c:pt>
                <c:pt idx="15">
                  <c:v>6707849.4199999999</c:v>
                </c:pt>
                <c:pt idx="16">
                  <c:v>994765.42</c:v>
                </c:pt>
                <c:pt idx="17">
                  <c:v>4556012.38</c:v>
                </c:pt>
                <c:pt idx="18">
                  <c:v>3782781.82</c:v>
                </c:pt>
                <c:pt idx="19">
                  <c:v>2132075.27</c:v>
                </c:pt>
                <c:pt idx="20">
                  <c:v>4445093.92</c:v>
                </c:pt>
                <c:pt idx="21">
                  <c:v>576782.80000000005</c:v>
                </c:pt>
                <c:pt idx="22">
                  <c:v>4648152.7200000007</c:v>
                </c:pt>
                <c:pt idx="23">
                  <c:v>3042246.7699999996</c:v>
                </c:pt>
                <c:pt idx="24">
                  <c:v>3296425.02</c:v>
                </c:pt>
                <c:pt idx="25">
                  <c:v>835759.1</c:v>
                </c:pt>
                <c:pt idx="26">
                  <c:v>3262562.1</c:v>
                </c:pt>
                <c:pt idx="27">
                  <c:v>1352867.4</c:v>
                </c:pt>
                <c:pt idx="28">
                  <c:v>8545511.1999999993</c:v>
                </c:pt>
                <c:pt idx="29">
                  <c:v>89623.98</c:v>
                </c:pt>
                <c:pt idx="30">
                  <c:v>71253.210000000006</c:v>
                </c:pt>
                <c:pt idx="31">
                  <c:v>2702770.4</c:v>
                </c:pt>
                <c:pt idx="32">
                  <c:v>173676.25</c:v>
                </c:pt>
                <c:pt idx="33">
                  <c:v>1819660.25</c:v>
                </c:pt>
                <c:pt idx="34">
                  <c:v>4510578.0999999996</c:v>
                </c:pt>
                <c:pt idx="35">
                  <c:v>3060338.59</c:v>
                </c:pt>
                <c:pt idx="36">
                  <c:v>75591.66</c:v>
                </c:pt>
                <c:pt idx="37">
                  <c:v>688641.85</c:v>
                </c:pt>
                <c:pt idx="38">
                  <c:v>455479.03999999998</c:v>
                </c:pt>
                <c:pt idx="39">
                  <c:v>20404.71</c:v>
                </c:pt>
                <c:pt idx="40">
                  <c:v>1352370.65</c:v>
                </c:pt>
                <c:pt idx="41">
                  <c:v>4647149.58</c:v>
                </c:pt>
                <c:pt idx="42">
                  <c:v>5513227.5</c:v>
                </c:pt>
                <c:pt idx="43">
                  <c:v>2003911.1199999999</c:v>
                </c:pt>
                <c:pt idx="44">
                  <c:v>1059987.26</c:v>
                </c:pt>
                <c:pt idx="45">
                  <c:v>1292409.45</c:v>
                </c:pt>
                <c:pt idx="46">
                  <c:v>6279.09</c:v>
                </c:pt>
                <c:pt idx="47">
                  <c:v>1904138.04</c:v>
                </c:pt>
                <c:pt idx="48">
                  <c:v>648030.4</c:v>
                </c:pt>
                <c:pt idx="49">
                  <c:v>197883.4</c:v>
                </c:pt>
                <c:pt idx="50">
                  <c:v>414371.1</c:v>
                </c:pt>
                <c:pt idx="51">
                  <c:v>568269.6</c:v>
                </c:pt>
                <c:pt idx="52">
                  <c:v>600821.43999999994</c:v>
                </c:pt>
                <c:pt idx="53">
                  <c:v>221117</c:v>
                </c:pt>
                <c:pt idx="54">
                  <c:v>5876405.1999999993</c:v>
                </c:pt>
                <c:pt idx="55">
                  <c:v>4493999.4799999995</c:v>
                </c:pt>
                <c:pt idx="56">
                  <c:v>2914130.27</c:v>
                </c:pt>
                <c:pt idx="57">
                  <c:v>7115008.6400000006</c:v>
                </c:pt>
                <c:pt idx="58">
                  <c:v>246415.95</c:v>
                </c:pt>
                <c:pt idx="59">
                  <c:v>3097864.77</c:v>
                </c:pt>
              </c:numCache>
            </c:numRef>
          </c:val>
          <c:smooth val="0"/>
          <c:extLst>
            <c:ext xmlns:c16="http://schemas.microsoft.com/office/drawing/2014/chart" uri="{C3380CC4-5D6E-409C-BE32-E72D297353CC}">
              <c16:uniqueId val="{00000000-96FD-4E21-92AE-4B8D90835EAB}"/>
            </c:ext>
          </c:extLst>
        </c:ser>
        <c:dLbls>
          <c:showLegendKey val="0"/>
          <c:showVal val="0"/>
          <c:showCatName val="0"/>
          <c:showSerName val="0"/>
          <c:showPercent val="0"/>
          <c:showBubbleSize val="0"/>
        </c:dLbls>
        <c:marker val="1"/>
        <c:smooth val="0"/>
        <c:axId val="1411374432"/>
        <c:axId val="1363022928"/>
      </c:lineChart>
      <c:catAx>
        <c:axId val="141137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ysClr val="windowText" lastClr="000000"/>
                    </a:solidFill>
                  </a:rPr>
                  <a:t>Years</a:t>
                </a:r>
                <a:r>
                  <a:rPr lang="en-IN" b="1" u="sng" baseline="0">
                    <a:solidFill>
                      <a:sysClr val="windowText" lastClr="000000"/>
                    </a:solidFill>
                  </a:rPr>
                  <a:t> &amp; Months</a:t>
                </a:r>
                <a:endParaRPr lang="en-IN" b="1" u="sng">
                  <a:solidFill>
                    <a:sysClr val="windowText" lastClr="000000"/>
                  </a:solidFill>
                </a:endParaRPr>
              </a:p>
            </c:rich>
          </c:tx>
          <c:layout>
            <c:manualLayout>
              <c:xMode val="edge"/>
              <c:yMode val="edge"/>
              <c:x val="0.45028149713691673"/>
              <c:y val="0.88608951559208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3022928"/>
        <c:crosses val="autoZero"/>
        <c:auto val="1"/>
        <c:lblAlgn val="ctr"/>
        <c:lblOffset val="100"/>
        <c:noMultiLvlLbl val="0"/>
      </c:catAx>
      <c:valAx>
        <c:axId val="1363022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ysClr val="windowText" lastClr="000000"/>
                    </a:solidFill>
                  </a:rPr>
                  <a:t>Total</a:t>
                </a:r>
                <a:r>
                  <a:rPr lang="en-IN" b="1" u="sng" baseline="0">
                    <a:solidFill>
                      <a:sysClr val="windowText" lastClr="000000"/>
                    </a:solidFill>
                  </a:rPr>
                  <a:t> Revenue</a:t>
                </a:r>
                <a:endParaRPr lang="en-IN" b="1" u="sng">
                  <a:solidFill>
                    <a:sysClr val="windowText" lastClr="000000"/>
                  </a:solidFill>
                </a:endParaRPr>
              </a:p>
            </c:rich>
          </c:tx>
          <c:layout>
            <c:manualLayout>
              <c:xMode val="edge"/>
              <c:yMode val="edge"/>
              <c:x val="2.3881292076439395E-3"/>
              <c:y val="0.197912721926444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137443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7.xml"/><Relationship Id="rId21" Type="http://schemas.openxmlformats.org/officeDocument/2006/relationships/image" Target="../media/image17.pn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6.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23" Type="http://schemas.openxmlformats.org/officeDocument/2006/relationships/image" Target="../media/image19.emf"/><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2</xdr:col>
      <xdr:colOff>483392</xdr:colOff>
      <xdr:row>10</xdr:row>
      <xdr:rowOff>116680</xdr:rowOff>
    </xdr:from>
    <xdr:to>
      <xdr:col>11</xdr:col>
      <xdr:colOff>642937</xdr:colOff>
      <xdr:row>25</xdr:row>
      <xdr:rowOff>157162</xdr:rowOff>
    </xdr:to>
    <xdr:graphicFrame macro="">
      <xdr:nvGraphicFramePr>
        <xdr:cNvPr id="2" name="Chart 1">
          <a:extLst>
            <a:ext uri="{FF2B5EF4-FFF2-40B4-BE49-F238E27FC236}">
              <a16:creationId xmlns:a16="http://schemas.microsoft.com/office/drawing/2014/main" id="{C38F06F7-7045-3449-C0E1-1A0E34244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152400</xdr:colOff>
      <xdr:row>11</xdr:row>
      <xdr:rowOff>52389</xdr:rowOff>
    </xdr:from>
    <xdr:to>
      <xdr:col>14</xdr:col>
      <xdr:colOff>633413</xdr:colOff>
      <xdr:row>16</xdr:row>
      <xdr:rowOff>57152</xdr:rowOff>
    </xdr:to>
    <mc:AlternateContent xmlns:mc="http://schemas.openxmlformats.org/markup-compatibility/2006" xmlns:a14="http://schemas.microsoft.com/office/drawing/2010/main">
      <mc:Choice Requires="a14">
        <xdr:graphicFrame macro="">
          <xdr:nvGraphicFramePr>
            <xdr:cNvPr id="4" name="Column1">
              <a:extLst>
                <a:ext uri="{FF2B5EF4-FFF2-40B4-BE49-F238E27FC236}">
                  <a16:creationId xmlns:a16="http://schemas.microsoft.com/office/drawing/2014/main" id="{A2C52E12-8501-A7EF-2E7E-387F0EB8A940}"/>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8829675" y="2043114"/>
              <a:ext cx="1776413" cy="909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409575</xdr:colOff>
      <xdr:row>27</xdr:row>
      <xdr:rowOff>109537</xdr:rowOff>
    </xdr:from>
    <xdr:to>
      <xdr:col>10</xdr:col>
      <xdr:colOff>257175</xdr:colOff>
      <xdr:row>34</xdr:row>
      <xdr:rowOff>109538</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F535E224-0418-FD98-9892-45E34FE39A0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848350" y="4995862"/>
              <a:ext cx="1790700" cy="12668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88105</xdr:colOff>
      <xdr:row>10</xdr:row>
      <xdr:rowOff>116681</xdr:rowOff>
    </xdr:from>
    <xdr:to>
      <xdr:col>10</xdr:col>
      <xdr:colOff>126205</xdr:colOff>
      <xdr:row>25</xdr:row>
      <xdr:rowOff>145256</xdr:rowOff>
    </xdr:to>
    <xdr:graphicFrame macro="">
      <xdr:nvGraphicFramePr>
        <xdr:cNvPr id="2" name="Chart 1">
          <a:extLst>
            <a:ext uri="{FF2B5EF4-FFF2-40B4-BE49-F238E27FC236}">
              <a16:creationId xmlns:a16="http://schemas.microsoft.com/office/drawing/2014/main" id="{3B697C4C-F3B2-28AA-2E3F-1A076DAB8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238125</xdr:colOff>
      <xdr:row>11</xdr:row>
      <xdr:rowOff>38101</xdr:rowOff>
    </xdr:from>
    <xdr:to>
      <xdr:col>13</xdr:col>
      <xdr:colOff>95250</xdr:colOff>
      <xdr:row>16</xdr:row>
      <xdr:rowOff>33337</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A77AAE-8939-8522-9A5C-33E0AD53268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7815263" y="2028826"/>
              <a:ext cx="1800225" cy="900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483392</xdr:colOff>
      <xdr:row>10</xdr:row>
      <xdr:rowOff>83342</xdr:rowOff>
    </xdr:from>
    <xdr:to>
      <xdr:col>8</xdr:col>
      <xdr:colOff>419100</xdr:colOff>
      <xdr:row>26</xdr:row>
      <xdr:rowOff>19049</xdr:rowOff>
    </xdr:to>
    <xdr:graphicFrame macro="">
      <xdr:nvGraphicFramePr>
        <xdr:cNvPr id="2" name="Chart 1">
          <a:extLst>
            <a:ext uri="{FF2B5EF4-FFF2-40B4-BE49-F238E27FC236}">
              <a16:creationId xmlns:a16="http://schemas.microsoft.com/office/drawing/2014/main" id="{1140F323-B7F0-575E-4F9A-FD40518F2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523875</xdr:colOff>
      <xdr:row>7</xdr:row>
      <xdr:rowOff>47625</xdr:rowOff>
    </xdr:from>
    <xdr:to>
      <xdr:col>12</xdr:col>
      <xdr:colOff>404813</xdr:colOff>
      <xdr:row>12</xdr:row>
      <xdr:rowOff>76199</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D72E8184-7254-BAF8-6B9D-9104226A847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315450" y="1314450"/>
              <a:ext cx="1824038"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254793</xdr:colOff>
      <xdr:row>11</xdr:row>
      <xdr:rowOff>83344</xdr:rowOff>
    </xdr:from>
    <xdr:to>
      <xdr:col>3</xdr:col>
      <xdr:colOff>804863</xdr:colOff>
      <xdr:row>25</xdr:row>
      <xdr:rowOff>138114</xdr:rowOff>
    </xdr:to>
    <xdr:graphicFrame macro="">
      <xdr:nvGraphicFramePr>
        <xdr:cNvPr id="2" name="Chart 1">
          <a:extLst>
            <a:ext uri="{FF2B5EF4-FFF2-40B4-BE49-F238E27FC236}">
              <a16:creationId xmlns:a16="http://schemas.microsoft.com/office/drawing/2014/main" id="{F962EBDA-6291-9FE7-1C8C-44AB7DFB2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257175</xdr:colOff>
      <xdr:row>11</xdr:row>
      <xdr:rowOff>76200</xdr:rowOff>
    </xdr:from>
    <xdr:to>
      <xdr:col>7</xdr:col>
      <xdr:colOff>104775</xdr:colOff>
      <xdr:row>16</xdr:row>
      <xdr:rowOff>76200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4F7A55B-D1D6-F1DC-04CF-700AD32FF5C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48350" y="2066925"/>
              <a:ext cx="17907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416719</xdr:colOff>
      <xdr:row>1</xdr:row>
      <xdr:rowOff>6768</xdr:rowOff>
    </xdr:from>
    <xdr:to>
      <xdr:col>17</xdr:col>
      <xdr:colOff>262735</xdr:colOff>
      <xdr:row>42</xdr:row>
      <xdr:rowOff>54149</xdr:rowOff>
    </xdr:to>
    <xdr:grpSp>
      <xdr:nvGrpSpPr>
        <xdr:cNvPr id="32" name="Group 31">
          <a:extLst>
            <a:ext uri="{FF2B5EF4-FFF2-40B4-BE49-F238E27FC236}">
              <a16:creationId xmlns:a16="http://schemas.microsoft.com/office/drawing/2014/main" id="{D7259385-1B63-679F-4179-2146364FE6FB}"/>
            </a:ext>
          </a:extLst>
        </xdr:cNvPr>
        <xdr:cNvGrpSpPr/>
      </xdr:nvGrpSpPr>
      <xdr:grpSpPr>
        <a:xfrm>
          <a:off x="416719" y="185362"/>
          <a:ext cx="11746855" cy="7369725"/>
          <a:chOff x="416719" y="120418"/>
          <a:chExt cx="11746855" cy="7357613"/>
        </a:xfrm>
      </xdr:grpSpPr>
      <xdr:grpSp>
        <xdr:nvGrpSpPr>
          <xdr:cNvPr id="44" name="Group 43">
            <a:extLst>
              <a:ext uri="{FF2B5EF4-FFF2-40B4-BE49-F238E27FC236}">
                <a16:creationId xmlns:a16="http://schemas.microsoft.com/office/drawing/2014/main" id="{E0810B0D-4FDB-AC37-10F7-45E0645ECE25}"/>
              </a:ext>
            </a:extLst>
          </xdr:cNvPr>
          <xdr:cNvGrpSpPr/>
        </xdr:nvGrpSpPr>
        <xdr:grpSpPr>
          <a:xfrm>
            <a:off x="416719" y="120418"/>
            <a:ext cx="11746855" cy="7357613"/>
            <a:chOff x="190242" y="147695"/>
            <a:chExt cx="11720486" cy="7586415"/>
          </a:xfrm>
        </xdr:grpSpPr>
        <xdr:grpSp>
          <xdr:nvGrpSpPr>
            <xdr:cNvPr id="41" name="Group 40">
              <a:extLst>
                <a:ext uri="{FF2B5EF4-FFF2-40B4-BE49-F238E27FC236}">
                  <a16:creationId xmlns:a16="http://schemas.microsoft.com/office/drawing/2014/main" id="{2EB650E4-DF7A-18EA-B822-9A0DB90D3D21}"/>
                </a:ext>
              </a:extLst>
            </xdr:cNvPr>
            <xdr:cNvGrpSpPr/>
          </xdr:nvGrpSpPr>
          <xdr:grpSpPr>
            <a:xfrm>
              <a:off x="190242" y="147695"/>
              <a:ext cx="11720486" cy="7586415"/>
              <a:chOff x="77477" y="163569"/>
              <a:chExt cx="11765866" cy="7455671"/>
            </a:xfrm>
          </xdr:grpSpPr>
          <xdr:sp macro="" textlink="">
            <xdr:nvSpPr>
              <xdr:cNvPr id="2" name="Rectangle: Rounded Corners 1">
                <a:extLst>
                  <a:ext uri="{FF2B5EF4-FFF2-40B4-BE49-F238E27FC236}">
                    <a16:creationId xmlns:a16="http://schemas.microsoft.com/office/drawing/2014/main" id="{B83EEA94-5E5E-BD9B-7C85-3A4B3A767494}"/>
                  </a:ext>
                </a:extLst>
              </xdr:cNvPr>
              <xdr:cNvSpPr/>
            </xdr:nvSpPr>
            <xdr:spPr>
              <a:xfrm>
                <a:off x="90485" y="238125"/>
                <a:ext cx="11730039" cy="442913"/>
              </a:xfrm>
              <a:prstGeom prst="roundRect">
                <a:avLst/>
              </a:prstGeom>
              <a:solidFill>
                <a:schemeClr val="tx2">
                  <a:lumMod val="75000"/>
                </a:schemeClr>
              </a:solidFill>
              <a:ln>
                <a:solidFill>
                  <a:schemeClr val="tx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rPr>
                  <a:t>AMAZON SALES</a:t>
                </a:r>
                <a:r>
                  <a:rPr lang="en-IN" sz="2400" b="1" baseline="0">
                    <a:solidFill>
                      <a:schemeClr val="bg1"/>
                    </a:solidFill>
                  </a:rPr>
                  <a:t> DASHBOARD                        </a:t>
                </a:r>
                <a:endParaRPr lang="en-IN" sz="2400" b="1">
                  <a:solidFill>
                    <a:schemeClr val="bg1"/>
                  </a:solidFill>
                </a:endParaRPr>
              </a:p>
            </xdr:txBody>
          </xdr:sp>
          <xdr:sp macro="" textlink="A1">
            <xdr:nvSpPr>
              <xdr:cNvPr id="3" name="Rectangle: Rounded Corners 2">
                <a:extLst>
                  <a:ext uri="{FF2B5EF4-FFF2-40B4-BE49-F238E27FC236}">
                    <a16:creationId xmlns:a16="http://schemas.microsoft.com/office/drawing/2014/main" id="{FA49D72E-5C77-1D7F-686F-AD74CC05E653}"/>
                  </a:ext>
                </a:extLst>
              </xdr:cNvPr>
              <xdr:cNvSpPr/>
            </xdr:nvSpPr>
            <xdr:spPr>
              <a:xfrm>
                <a:off x="2000255" y="800095"/>
                <a:ext cx="2309807" cy="90963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2"/>
                    </a:solidFill>
                    <a:latin typeface="Calibri"/>
                    <a:ea typeface="Calibri"/>
                    <a:cs typeface="Calibri"/>
                  </a:rPr>
                  <a:t>TOTAL</a:t>
                </a:r>
                <a:r>
                  <a:rPr lang="en-US" sz="1100" b="1" i="0" u="none" strike="noStrike" baseline="0">
                    <a:solidFill>
                      <a:schemeClr val="tx2"/>
                    </a:solidFill>
                    <a:latin typeface="Calibri"/>
                    <a:ea typeface="Calibri"/>
                    <a:cs typeface="Calibri"/>
                  </a:rPr>
                  <a:t> REVENUE</a:t>
                </a:r>
                <a:endParaRPr lang="en-US" sz="1100" b="1" i="0" u="none" strike="noStrike">
                  <a:solidFill>
                    <a:schemeClr val="tx2"/>
                  </a:solidFill>
                  <a:latin typeface="Calibri"/>
                  <a:ea typeface="Calibri"/>
                  <a:cs typeface="Calibri"/>
                </a:endParaRPr>
              </a:p>
              <a:p>
                <a:pPr algn="ctr"/>
                <a:endParaRPr lang="en-US" sz="1400" b="1" i="0" u="none" strike="noStrike">
                  <a:solidFill>
                    <a:schemeClr val="tx2"/>
                  </a:solidFill>
                  <a:latin typeface="Calibri"/>
                  <a:ea typeface="Calibri"/>
                  <a:cs typeface="Calibri"/>
                </a:endParaRPr>
              </a:p>
              <a:p>
                <a:pPr algn="ctr"/>
                <a:fld id="{48B4C529-A494-4247-862A-A33009ABC469}" type="TxLink">
                  <a:rPr lang="en-US" sz="1400" b="1" i="0" u="none" strike="noStrike">
                    <a:solidFill>
                      <a:schemeClr val="tx2"/>
                    </a:solidFill>
                    <a:latin typeface="Calibri"/>
                    <a:ea typeface="Calibri"/>
                    <a:cs typeface="Calibri"/>
                  </a:rPr>
                  <a:pPr algn="ctr"/>
                  <a:t> 13,73,48,768 </a:t>
                </a:fld>
                <a:endParaRPr lang="en-IN" sz="1400" b="1">
                  <a:solidFill>
                    <a:schemeClr val="tx2"/>
                  </a:solidFill>
                </a:endParaRPr>
              </a:p>
            </xdr:txBody>
          </xdr:sp>
          <xdr:sp macro="" textlink="B1">
            <xdr:nvSpPr>
              <xdr:cNvPr id="4" name="Rectangle: Rounded Corners 3">
                <a:extLst>
                  <a:ext uri="{FF2B5EF4-FFF2-40B4-BE49-F238E27FC236}">
                    <a16:creationId xmlns:a16="http://schemas.microsoft.com/office/drawing/2014/main" id="{7AABDCAF-18DE-4AF5-B24F-AEF075029DB0}"/>
                  </a:ext>
                </a:extLst>
              </xdr:cNvPr>
              <xdr:cNvSpPr/>
            </xdr:nvSpPr>
            <xdr:spPr>
              <a:xfrm>
                <a:off x="4510112" y="790575"/>
                <a:ext cx="2324080" cy="919163"/>
              </a:xfrm>
              <a:prstGeom prst="roundRect">
                <a:avLst/>
              </a:prstGeom>
              <a:solidFill>
                <a:schemeClr val="accent3">
                  <a:lumMod val="20000"/>
                  <a:lumOff val="8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2"/>
                    </a:solidFill>
                    <a:latin typeface="Calibri"/>
                    <a:ea typeface="Calibri"/>
                    <a:cs typeface="Calibri"/>
                  </a:rPr>
                  <a:t>TOTAL PROFIT</a:t>
                </a:r>
              </a:p>
              <a:p>
                <a:pPr algn="ctr"/>
                <a:endParaRPr lang="en-US" sz="1400" b="1" i="0" u="none" strike="noStrike">
                  <a:solidFill>
                    <a:schemeClr val="tx2"/>
                  </a:solidFill>
                  <a:latin typeface="Calibri"/>
                  <a:ea typeface="Calibri"/>
                  <a:cs typeface="Calibri"/>
                </a:endParaRPr>
              </a:p>
              <a:p>
                <a:pPr algn="ctr"/>
                <a:fld id="{4A963BEC-0494-42C5-A8A7-A7ED31F8C75F}" type="TxLink">
                  <a:rPr lang="en-US" sz="1400" b="1" i="0" u="none" strike="noStrike">
                    <a:solidFill>
                      <a:schemeClr val="tx2"/>
                    </a:solidFill>
                    <a:latin typeface="Calibri"/>
                    <a:ea typeface="Calibri"/>
                    <a:cs typeface="Calibri"/>
                  </a:rPr>
                  <a:pPr algn="ctr"/>
                  <a:t> 4,41,68,198 </a:t>
                </a:fld>
                <a:endParaRPr lang="en-IN" sz="1400" b="1">
                  <a:solidFill>
                    <a:schemeClr val="tx2"/>
                  </a:solidFill>
                </a:endParaRPr>
              </a:p>
            </xdr:txBody>
          </xdr:sp>
          <xdr:sp macro="" textlink="C1">
            <xdr:nvSpPr>
              <xdr:cNvPr id="5" name="Rectangle: Rounded Corners 4">
                <a:extLst>
                  <a:ext uri="{FF2B5EF4-FFF2-40B4-BE49-F238E27FC236}">
                    <a16:creationId xmlns:a16="http://schemas.microsoft.com/office/drawing/2014/main" id="{F282E3EE-CD07-4916-BABE-24BEA51442F2}"/>
                  </a:ext>
                </a:extLst>
              </xdr:cNvPr>
              <xdr:cNvSpPr/>
            </xdr:nvSpPr>
            <xdr:spPr>
              <a:xfrm>
                <a:off x="7038969" y="795338"/>
                <a:ext cx="2305055" cy="909638"/>
              </a:xfrm>
              <a:prstGeom prst="roundRect">
                <a:avLst/>
              </a:prstGeom>
              <a:solidFill>
                <a:schemeClr val="accent6">
                  <a:lumMod val="20000"/>
                  <a:lumOff val="80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2"/>
                    </a:solidFill>
                    <a:latin typeface="Calibri"/>
                    <a:ea typeface="Calibri"/>
                    <a:cs typeface="Calibri"/>
                  </a:rPr>
                  <a:t>TOTAL</a:t>
                </a:r>
                <a:r>
                  <a:rPr lang="en-US" sz="1100" b="1" i="0" u="none" strike="noStrike" baseline="0">
                    <a:solidFill>
                      <a:schemeClr val="tx2"/>
                    </a:solidFill>
                    <a:latin typeface="Calibri"/>
                    <a:ea typeface="Calibri"/>
                    <a:cs typeface="Calibri"/>
                  </a:rPr>
                  <a:t> ORDER</a:t>
                </a:r>
                <a:endParaRPr lang="en-US" sz="1100" b="1" i="0" u="none" strike="noStrike">
                  <a:solidFill>
                    <a:schemeClr val="tx2"/>
                  </a:solidFill>
                  <a:latin typeface="Calibri"/>
                  <a:ea typeface="Calibri"/>
                  <a:cs typeface="Calibri"/>
                </a:endParaRPr>
              </a:p>
              <a:p>
                <a:pPr algn="ctr"/>
                <a:endParaRPr lang="en-US" sz="1400" b="1" i="0" u="none" strike="noStrike">
                  <a:solidFill>
                    <a:schemeClr val="tx2"/>
                  </a:solidFill>
                  <a:latin typeface="Calibri"/>
                  <a:ea typeface="Calibri"/>
                  <a:cs typeface="Calibri"/>
                </a:endParaRPr>
              </a:p>
              <a:p>
                <a:pPr algn="ctr"/>
                <a:fld id="{0A18D356-003A-418B-AADC-14E1DC5B1414}" type="TxLink">
                  <a:rPr lang="en-US" sz="1400" b="1" i="0" u="none" strike="noStrike">
                    <a:solidFill>
                      <a:schemeClr val="tx2"/>
                    </a:solidFill>
                    <a:latin typeface="Calibri"/>
                    <a:ea typeface="Calibri"/>
                    <a:cs typeface="Calibri"/>
                  </a:rPr>
                  <a:pPr algn="ctr"/>
                  <a:t>100</a:t>
                </a:fld>
                <a:endParaRPr lang="en-IN" sz="1400" b="1">
                  <a:solidFill>
                    <a:schemeClr val="tx2"/>
                  </a:solidFill>
                </a:endParaRPr>
              </a:p>
            </xdr:txBody>
          </xdr:sp>
          <xdr:sp macro="" textlink="D1">
            <xdr:nvSpPr>
              <xdr:cNvPr id="6" name="Rectangle: Rounded Corners 5">
                <a:extLst>
                  <a:ext uri="{FF2B5EF4-FFF2-40B4-BE49-F238E27FC236}">
                    <a16:creationId xmlns:a16="http://schemas.microsoft.com/office/drawing/2014/main" id="{60C7E30E-ADAD-4D21-B603-B2F480D17278}"/>
                  </a:ext>
                </a:extLst>
              </xdr:cNvPr>
              <xdr:cNvSpPr/>
            </xdr:nvSpPr>
            <xdr:spPr>
              <a:xfrm>
                <a:off x="9529763" y="795336"/>
                <a:ext cx="2276493" cy="909638"/>
              </a:xfrm>
              <a:prstGeom prst="roundRect">
                <a:avLst/>
              </a:prstGeom>
              <a:solidFill>
                <a:schemeClr val="accent2">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2"/>
                    </a:solidFill>
                    <a:latin typeface="Calibri"/>
                    <a:ea typeface="Calibri"/>
                    <a:cs typeface="Calibri"/>
                  </a:rPr>
                  <a:t>TOTAL</a:t>
                </a:r>
                <a:r>
                  <a:rPr lang="en-US" sz="1100" b="1" i="0" u="none" strike="noStrike" baseline="0">
                    <a:solidFill>
                      <a:schemeClr val="tx2"/>
                    </a:solidFill>
                    <a:latin typeface="Calibri"/>
                    <a:ea typeface="Calibri"/>
                    <a:cs typeface="Calibri"/>
                  </a:rPr>
                  <a:t> UNIT SOLD</a:t>
                </a:r>
                <a:endParaRPr lang="en-US" sz="1100" b="1" i="0" u="none" strike="noStrike">
                  <a:solidFill>
                    <a:schemeClr val="tx2"/>
                  </a:solidFill>
                  <a:latin typeface="Calibri"/>
                  <a:ea typeface="Calibri"/>
                  <a:cs typeface="Calibri"/>
                </a:endParaRPr>
              </a:p>
              <a:p>
                <a:pPr algn="ctr"/>
                <a:endParaRPr lang="en-US" sz="1400" b="1" i="0" u="none" strike="noStrike">
                  <a:solidFill>
                    <a:schemeClr val="tx2"/>
                  </a:solidFill>
                  <a:latin typeface="Calibri"/>
                  <a:ea typeface="Calibri"/>
                  <a:cs typeface="Calibri"/>
                </a:endParaRPr>
              </a:p>
              <a:p>
                <a:pPr algn="ctr"/>
                <a:fld id="{7099CB44-988B-4B46-A7F5-480B50344D69}" type="TxLink">
                  <a:rPr lang="en-US" sz="1400" b="1" i="0" u="none" strike="noStrike">
                    <a:solidFill>
                      <a:schemeClr val="tx2"/>
                    </a:solidFill>
                    <a:latin typeface="Calibri"/>
                    <a:ea typeface="Calibri"/>
                    <a:cs typeface="Calibri"/>
                  </a:rPr>
                  <a:pPr algn="ctr"/>
                  <a:t> 5,12,871 </a:t>
                </a:fld>
                <a:endParaRPr lang="en-IN" sz="1400" b="1">
                  <a:solidFill>
                    <a:schemeClr val="tx2"/>
                  </a:solidFill>
                </a:endParaRPr>
              </a:p>
            </xdr:txBody>
          </xdr:sp>
          <xdr:grpSp>
            <xdr:nvGrpSpPr>
              <xdr:cNvPr id="11" name="Group 10">
                <a:extLst>
                  <a:ext uri="{FF2B5EF4-FFF2-40B4-BE49-F238E27FC236}">
                    <a16:creationId xmlns:a16="http://schemas.microsoft.com/office/drawing/2014/main" id="{5169C5E5-2FB2-B15D-3CBF-8E06295602ED}"/>
                  </a:ext>
                </a:extLst>
              </xdr:cNvPr>
              <xdr:cNvGrpSpPr/>
            </xdr:nvGrpSpPr>
            <xdr:grpSpPr>
              <a:xfrm>
                <a:off x="1975779" y="1870196"/>
                <a:ext cx="4791732" cy="2788203"/>
                <a:chOff x="1985304" y="2108325"/>
                <a:chExt cx="4791732" cy="2788203"/>
              </a:xfrm>
            </xdr:grpSpPr>
            <xdr:sp macro="" textlink="">
              <xdr:nvSpPr>
                <xdr:cNvPr id="7" name="Rectangle: Top Corners Rounded 6">
                  <a:extLst>
                    <a:ext uri="{FF2B5EF4-FFF2-40B4-BE49-F238E27FC236}">
                      <a16:creationId xmlns:a16="http://schemas.microsoft.com/office/drawing/2014/main" id="{80DFC71C-CCD3-C8AE-5839-855CFBD0CD80}"/>
                    </a:ext>
                  </a:extLst>
                </xdr:cNvPr>
                <xdr:cNvSpPr/>
              </xdr:nvSpPr>
              <xdr:spPr>
                <a:xfrm>
                  <a:off x="1985304" y="2108325"/>
                  <a:ext cx="4786313" cy="304800"/>
                </a:xfrm>
                <a:prstGeom prst="round2Same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a:t>         </a:t>
                  </a:r>
                  <a:r>
                    <a:rPr lang="en-IN" sz="1200" b="1"/>
                    <a:t>1.</a:t>
                  </a:r>
                  <a:r>
                    <a:rPr lang="en-IN" sz="1200" b="1" baseline="0"/>
                    <a:t> </a:t>
                  </a:r>
                  <a:r>
                    <a:rPr lang="en-IN" sz="1200" b="1" i="0" u="none" baseline="0">
                      <a:solidFill>
                        <a:schemeClr val="lt1"/>
                      </a:solidFill>
                      <a:effectLst/>
                      <a:latin typeface="+mn-lt"/>
                      <a:ea typeface="+mn-ea"/>
                      <a:cs typeface="+mn-cs"/>
                    </a:rPr>
                    <a:t>Unit Sold,Average Revenue &amp; Average Profit by Item Type </a:t>
                  </a:r>
                  <a:endParaRPr lang="en-IN" sz="1200" b="1" i="0" u="none">
                    <a:effectLst/>
                  </a:endParaRPr>
                </a:p>
                <a:p>
                  <a:pPr algn="l"/>
                  <a:endParaRPr lang="en-IN" sz="1100" b="1"/>
                </a:p>
              </xdr:txBody>
            </xdr:sp>
            <xdr:graphicFrame macro="">
              <xdr:nvGraphicFramePr>
                <xdr:cNvPr id="9" name="Chart 8">
                  <a:extLst>
                    <a:ext uri="{FF2B5EF4-FFF2-40B4-BE49-F238E27FC236}">
                      <a16:creationId xmlns:a16="http://schemas.microsoft.com/office/drawing/2014/main" id="{E8BBDC13-41A1-46A0-8E72-233EC3CCAACC}"/>
                    </a:ext>
                  </a:extLst>
                </xdr:cNvPr>
                <xdr:cNvGraphicFramePr>
                  <a:graphicFrameLocks/>
                </xdr:cNvGraphicFramePr>
              </xdr:nvGraphicFramePr>
              <xdr:xfrm>
                <a:off x="1985961" y="2439078"/>
                <a:ext cx="4791075" cy="245745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3" name="Group 12">
                <a:extLst>
                  <a:ext uri="{FF2B5EF4-FFF2-40B4-BE49-F238E27FC236}">
                    <a16:creationId xmlns:a16="http://schemas.microsoft.com/office/drawing/2014/main" id="{5652C8E0-118F-4032-C475-53756EE32846}"/>
                  </a:ext>
                </a:extLst>
              </xdr:cNvPr>
              <xdr:cNvGrpSpPr/>
            </xdr:nvGrpSpPr>
            <xdr:grpSpPr>
              <a:xfrm>
                <a:off x="6805608" y="1881145"/>
                <a:ext cx="5020466" cy="2777966"/>
                <a:chOff x="6805608" y="1919249"/>
                <a:chExt cx="5020466" cy="2777966"/>
              </a:xfrm>
            </xdr:grpSpPr>
            <xdr:sp macro="" textlink="">
              <xdr:nvSpPr>
                <xdr:cNvPr id="8" name="Rectangle: Top Corners Rounded 7">
                  <a:extLst>
                    <a:ext uri="{FF2B5EF4-FFF2-40B4-BE49-F238E27FC236}">
                      <a16:creationId xmlns:a16="http://schemas.microsoft.com/office/drawing/2014/main" id="{3D447160-080C-4CC8-9F21-097D269398C0}"/>
                    </a:ext>
                  </a:extLst>
                </xdr:cNvPr>
                <xdr:cNvSpPr/>
              </xdr:nvSpPr>
              <xdr:spPr>
                <a:xfrm>
                  <a:off x="6810376" y="1919249"/>
                  <a:ext cx="5010149" cy="304800"/>
                </a:xfrm>
                <a:prstGeom prst="round2Same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i="0" u="none"/>
                    <a:t>          </a:t>
                  </a:r>
                  <a:r>
                    <a:rPr lang="en-IN" sz="1200" b="1" i="0" u="none"/>
                    <a:t>2.</a:t>
                  </a:r>
                  <a:r>
                    <a:rPr lang="en-IN" sz="1200" b="1" i="0" u="none" baseline="0">
                      <a:solidFill>
                        <a:schemeClr val="lt1"/>
                      </a:solidFill>
                      <a:effectLst/>
                      <a:latin typeface="+mn-lt"/>
                      <a:ea typeface="+mn-ea"/>
                      <a:cs typeface="+mn-cs"/>
                    </a:rPr>
                    <a:t>Revenue,Cost &amp; Profit by Region</a:t>
                  </a:r>
                  <a:endParaRPr lang="en-IN" sz="1200" b="1" i="0" u="none">
                    <a:effectLst/>
                  </a:endParaRPr>
                </a:p>
                <a:p>
                  <a:pPr algn="l"/>
                  <a:endParaRPr lang="en-IN" sz="1100" b="1" i="0" u="none"/>
                </a:p>
              </xdr:txBody>
            </xdr:sp>
            <xdr:graphicFrame macro="">
              <xdr:nvGraphicFramePr>
                <xdr:cNvPr id="12" name="Chart 11">
                  <a:extLst>
                    <a:ext uri="{FF2B5EF4-FFF2-40B4-BE49-F238E27FC236}">
                      <a16:creationId xmlns:a16="http://schemas.microsoft.com/office/drawing/2014/main" id="{3C860082-DA47-4A7A-A53A-978B53B3EDB1}"/>
                    </a:ext>
                  </a:extLst>
                </xdr:cNvPr>
                <xdr:cNvGraphicFramePr>
                  <a:graphicFrameLocks/>
                </xdr:cNvGraphicFramePr>
              </xdr:nvGraphicFramePr>
              <xdr:xfrm>
                <a:off x="6805608" y="2249289"/>
                <a:ext cx="5020466" cy="244792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9" name="Group 18">
                <a:extLst>
                  <a:ext uri="{FF2B5EF4-FFF2-40B4-BE49-F238E27FC236}">
                    <a16:creationId xmlns:a16="http://schemas.microsoft.com/office/drawing/2014/main" id="{DADF3795-D49B-F126-1B23-B32E0D320C73}"/>
                  </a:ext>
                </a:extLst>
              </xdr:cNvPr>
              <xdr:cNvGrpSpPr/>
            </xdr:nvGrpSpPr>
            <xdr:grpSpPr>
              <a:xfrm>
                <a:off x="1985961" y="4799118"/>
                <a:ext cx="4038601" cy="2820122"/>
                <a:chOff x="1952624" y="4812513"/>
                <a:chExt cx="4038601" cy="2743773"/>
              </a:xfrm>
            </xdr:grpSpPr>
            <xdr:sp macro="" textlink="">
              <xdr:nvSpPr>
                <xdr:cNvPr id="14" name="Rectangle: Top Corners Rounded 13">
                  <a:extLst>
                    <a:ext uri="{FF2B5EF4-FFF2-40B4-BE49-F238E27FC236}">
                      <a16:creationId xmlns:a16="http://schemas.microsoft.com/office/drawing/2014/main" id="{6367EFAF-3953-EB80-D271-841EA675B3EE}"/>
                    </a:ext>
                  </a:extLst>
                </xdr:cNvPr>
                <xdr:cNvSpPr/>
              </xdr:nvSpPr>
              <xdr:spPr>
                <a:xfrm>
                  <a:off x="1957389" y="4812513"/>
                  <a:ext cx="4024312" cy="361950"/>
                </a:xfrm>
                <a:prstGeom prst="round2Same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200" b="1" i="0" u="none">
                      <a:solidFill>
                        <a:schemeClr val="bg1"/>
                      </a:solidFill>
                    </a:rPr>
                    <a:t>          3.</a:t>
                  </a:r>
                  <a:r>
                    <a:rPr lang="en-IN" sz="1200" b="1" i="0" u="none" baseline="0">
                      <a:solidFill>
                        <a:schemeClr val="bg1"/>
                      </a:solidFill>
                    </a:rPr>
                    <a:t> </a:t>
                  </a:r>
                  <a:r>
                    <a:rPr lang="en-US" sz="1200" b="1" i="0" u="none" baseline="0">
                      <a:solidFill>
                        <a:schemeClr val="bg1"/>
                      </a:solidFill>
                      <a:effectLst/>
                      <a:latin typeface="+mn-lt"/>
                      <a:ea typeface="+mn-ea"/>
                      <a:cs typeface="+mn-cs"/>
                    </a:rPr>
                    <a:t>Unit Sold by  Sales Chanels</a:t>
                  </a:r>
                  <a:endParaRPr lang="en-IN" sz="1200" b="1" i="0" u="none">
                    <a:solidFill>
                      <a:schemeClr val="bg1"/>
                    </a:solidFill>
                    <a:effectLst/>
                  </a:endParaRPr>
                </a:p>
                <a:p>
                  <a:pPr algn="l"/>
                  <a:endParaRPr lang="en-IN" sz="1200" b="1" i="0" u="none">
                    <a:solidFill>
                      <a:schemeClr val="bg1"/>
                    </a:solidFill>
                  </a:endParaRPr>
                </a:p>
              </xdr:txBody>
            </xdr:sp>
            <xdr:graphicFrame macro="">
              <xdr:nvGraphicFramePr>
                <xdr:cNvPr id="15" name="Chart 14">
                  <a:extLst>
                    <a:ext uri="{FF2B5EF4-FFF2-40B4-BE49-F238E27FC236}">
                      <a16:creationId xmlns:a16="http://schemas.microsoft.com/office/drawing/2014/main" id="{DFDBFD27-1D07-4CAF-8F0C-A804BA18CA58}"/>
                    </a:ext>
                  </a:extLst>
                </xdr:cNvPr>
                <xdr:cNvGraphicFramePr>
                  <a:graphicFrameLocks/>
                </xdr:cNvGraphicFramePr>
              </xdr:nvGraphicFramePr>
              <xdr:xfrm>
                <a:off x="1952624" y="5194086"/>
                <a:ext cx="4038601" cy="2362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1" name="Group 20">
                <a:extLst>
                  <a:ext uri="{FF2B5EF4-FFF2-40B4-BE49-F238E27FC236}">
                    <a16:creationId xmlns:a16="http://schemas.microsoft.com/office/drawing/2014/main" id="{F3E570E5-88E1-1311-1006-C7C7159E2FEF}"/>
                  </a:ext>
                </a:extLst>
              </xdr:cNvPr>
              <xdr:cNvGrpSpPr/>
            </xdr:nvGrpSpPr>
            <xdr:grpSpPr>
              <a:xfrm>
                <a:off x="6062665" y="4810754"/>
                <a:ext cx="5780678" cy="2805840"/>
                <a:chOff x="6043615" y="4839329"/>
                <a:chExt cx="5809226" cy="2805840"/>
              </a:xfrm>
            </xdr:grpSpPr>
            <xdr:sp macro="" textlink="">
              <xdr:nvSpPr>
                <xdr:cNvPr id="18" name="Rectangle: Top Corners Rounded 17">
                  <a:extLst>
                    <a:ext uri="{FF2B5EF4-FFF2-40B4-BE49-F238E27FC236}">
                      <a16:creationId xmlns:a16="http://schemas.microsoft.com/office/drawing/2014/main" id="{08ADE39F-D7F9-448D-B959-2AA3542FF5A7}"/>
                    </a:ext>
                  </a:extLst>
                </xdr:cNvPr>
                <xdr:cNvSpPr/>
              </xdr:nvSpPr>
              <xdr:spPr>
                <a:xfrm>
                  <a:off x="6048377" y="4839329"/>
                  <a:ext cx="5800725" cy="361951"/>
                </a:xfrm>
                <a:prstGeom prst="round2Same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200" b="1" i="0" u="none">
                      <a:solidFill>
                        <a:schemeClr val="bg1"/>
                      </a:solidFill>
                    </a:rPr>
                    <a:t>           4.</a:t>
                  </a:r>
                  <a:r>
                    <a:rPr lang="en-IN" sz="1200" b="1" i="0" u="none" baseline="0">
                      <a:solidFill>
                        <a:schemeClr val="bg1"/>
                      </a:solidFill>
                    </a:rPr>
                    <a:t> </a:t>
                  </a:r>
                  <a:r>
                    <a:rPr lang="en-IN" sz="1200" b="1" i="0" u="none" baseline="0">
                      <a:solidFill>
                        <a:schemeClr val="lt1"/>
                      </a:solidFill>
                      <a:effectLst/>
                      <a:latin typeface="+mn-lt"/>
                      <a:ea typeface="+mn-ea"/>
                      <a:cs typeface="+mn-cs"/>
                    </a:rPr>
                    <a:t>Monthly Revenu Trend</a:t>
                  </a:r>
                  <a:endParaRPr lang="en-IN" sz="1200" b="1" i="0" u="none">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200" b="1" i="0" u="none">
                    <a:solidFill>
                      <a:schemeClr val="bg1"/>
                    </a:solidFill>
                    <a:effectLst/>
                  </a:endParaRPr>
                </a:p>
                <a:p>
                  <a:pPr algn="l"/>
                  <a:endParaRPr lang="en-IN" sz="1200" b="1" i="0" u="none">
                    <a:solidFill>
                      <a:schemeClr val="bg1"/>
                    </a:solidFill>
                  </a:endParaRPr>
                </a:p>
              </xdr:txBody>
            </xdr:sp>
            <xdr:graphicFrame macro="">
              <xdr:nvGraphicFramePr>
                <xdr:cNvPr id="20" name="Chart 19">
                  <a:extLst>
                    <a:ext uri="{FF2B5EF4-FFF2-40B4-BE49-F238E27FC236}">
                      <a16:creationId xmlns:a16="http://schemas.microsoft.com/office/drawing/2014/main" id="{61E7B5E3-A58C-4997-AEA0-11E85B2DEEA3}"/>
                    </a:ext>
                  </a:extLst>
                </xdr:cNvPr>
                <xdr:cNvGraphicFramePr>
                  <a:graphicFrameLocks/>
                </xdr:cNvGraphicFramePr>
              </xdr:nvGraphicFramePr>
              <xdr:xfrm>
                <a:off x="6043615" y="5221056"/>
                <a:ext cx="5809226" cy="2424113"/>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5" name="Group 24">
                <a:extLst>
                  <a:ext uri="{FF2B5EF4-FFF2-40B4-BE49-F238E27FC236}">
                    <a16:creationId xmlns:a16="http://schemas.microsoft.com/office/drawing/2014/main" id="{3122BA19-986D-E7A2-D26C-841756C100FD}"/>
                  </a:ext>
                </a:extLst>
              </xdr:cNvPr>
              <xdr:cNvGrpSpPr/>
            </xdr:nvGrpSpPr>
            <xdr:grpSpPr>
              <a:xfrm>
                <a:off x="77477" y="804143"/>
                <a:ext cx="1848455" cy="6804566"/>
                <a:chOff x="77477" y="823193"/>
                <a:chExt cx="1848455" cy="6804566"/>
              </a:xfrm>
            </xdr:grpSpPr>
            <xdr:sp macro="" textlink="">
              <xdr:nvSpPr>
                <xdr:cNvPr id="10" name="Rectangle: Top Corners Rounded 9">
                  <a:extLst>
                    <a:ext uri="{FF2B5EF4-FFF2-40B4-BE49-F238E27FC236}">
                      <a16:creationId xmlns:a16="http://schemas.microsoft.com/office/drawing/2014/main" id="{C3FAB704-6E3E-FC58-469D-371A876295FC}"/>
                    </a:ext>
                  </a:extLst>
                </xdr:cNvPr>
                <xdr:cNvSpPr/>
              </xdr:nvSpPr>
              <xdr:spPr>
                <a:xfrm>
                  <a:off x="88319" y="823193"/>
                  <a:ext cx="1826771" cy="394542"/>
                </a:xfrm>
                <a:prstGeom prst="round2Same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Filter</a:t>
                  </a:r>
                </a:p>
              </xdr:txBody>
            </xdr:sp>
            <mc:AlternateContent xmlns:mc="http://schemas.openxmlformats.org/markup-compatibility/2006">
              <mc:Choice xmlns:a14="http://schemas.microsoft.com/office/drawing/2010/main" Requires="a14">
                <xdr:graphicFrame macro="">
                  <xdr:nvGraphicFramePr>
                    <xdr:cNvPr id="16" name="Country 1">
                      <a:extLst>
                        <a:ext uri="{FF2B5EF4-FFF2-40B4-BE49-F238E27FC236}">
                          <a16:creationId xmlns:a16="http://schemas.microsoft.com/office/drawing/2014/main" id="{D8ED8FA9-A216-4219-AC2A-BE23B0BAC82D}"/>
                        </a:ext>
                      </a:extLst>
                    </xdr:cNvPr>
                    <xdr:cNvGraphicFramePr/>
                  </xdr:nvGraphicFramePr>
                  <xdr:xfrm>
                    <a:off x="77477" y="1230834"/>
                    <a:ext cx="1843207" cy="1496308"/>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16719" y="1221494"/>
                      <a:ext cx="1840228" cy="1479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Item Type 1">
                      <a:extLst>
                        <a:ext uri="{FF2B5EF4-FFF2-40B4-BE49-F238E27FC236}">
                          <a16:creationId xmlns:a16="http://schemas.microsoft.com/office/drawing/2014/main" id="{AB2E8823-8FB2-459D-B699-D902F7B6489C}"/>
                        </a:ext>
                      </a:extLst>
                    </xdr:cNvPr>
                    <xdr:cNvGraphicFramePr/>
                  </xdr:nvGraphicFramePr>
                  <xdr:xfrm>
                    <a:off x="77477" y="2641388"/>
                    <a:ext cx="1848455" cy="1197372"/>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16719" y="2615788"/>
                      <a:ext cx="1845468" cy="118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Sales Channel 1">
                      <a:extLst>
                        <a:ext uri="{FF2B5EF4-FFF2-40B4-BE49-F238E27FC236}">
                          <a16:creationId xmlns:a16="http://schemas.microsoft.com/office/drawing/2014/main" id="{2259AE13-4E32-471C-A835-FA03B532F00C}"/>
                        </a:ext>
                      </a:extLst>
                    </xdr:cNvPr>
                    <xdr:cNvGraphicFramePr/>
                  </xdr:nvGraphicFramePr>
                  <xdr:xfrm>
                    <a:off x="77477" y="3849033"/>
                    <a:ext cx="1847231" cy="932977"/>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416719" y="3809511"/>
                      <a:ext cx="1844246" cy="922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Column1 1">
                      <a:extLst>
                        <a:ext uri="{FF2B5EF4-FFF2-40B4-BE49-F238E27FC236}">
                          <a16:creationId xmlns:a16="http://schemas.microsoft.com/office/drawing/2014/main" id="{10074A44-35D2-4684-A23B-10FFCC5CA719}"/>
                        </a:ext>
                      </a:extLst>
                    </xdr:cNvPr>
                    <xdr:cNvGraphicFramePr/>
                  </xdr:nvGraphicFramePr>
                  <xdr:xfrm>
                    <a:off x="77479" y="4788237"/>
                    <a:ext cx="1843034" cy="1470314"/>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416721" y="4737889"/>
                      <a:ext cx="1840056" cy="145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24" name="Order Date 1">
                      <a:extLst>
                        <a:ext uri="{FF2B5EF4-FFF2-40B4-BE49-F238E27FC236}">
                          <a16:creationId xmlns:a16="http://schemas.microsoft.com/office/drawing/2014/main" id="{7A25C5F3-632E-40C8-B0E5-6395543F0777}"/>
                        </a:ext>
                      </a:extLst>
                    </xdr:cNvPr>
                    <xdr:cNvGraphicFramePr/>
                  </xdr:nvGraphicFramePr>
                  <xdr:xfrm>
                    <a:off x="79480" y="6262275"/>
                    <a:ext cx="1841030" cy="1365484"/>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18719" y="6194935"/>
                      <a:ext cx="1838055" cy="13497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pic>
            <xdr:nvPicPr>
              <xdr:cNvPr id="27" name="Graphic 26" descr="Bar graph with upward trend with solid fill">
                <a:extLst>
                  <a:ext uri="{FF2B5EF4-FFF2-40B4-BE49-F238E27FC236}">
                    <a16:creationId xmlns:a16="http://schemas.microsoft.com/office/drawing/2014/main" id="{37E7A2CA-075E-6FF8-D4AB-4BAB168722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74153" y="1831645"/>
                <a:ext cx="421386" cy="373206"/>
              </a:xfrm>
              <a:prstGeom prst="rect">
                <a:avLst/>
              </a:prstGeom>
            </xdr:spPr>
          </xdr:pic>
          <xdr:pic>
            <xdr:nvPicPr>
              <xdr:cNvPr id="29" name="Graphic 28" descr="Briefcase with solid fill">
                <a:extLst>
                  <a:ext uri="{FF2B5EF4-FFF2-40B4-BE49-F238E27FC236}">
                    <a16:creationId xmlns:a16="http://schemas.microsoft.com/office/drawing/2014/main" id="{D121B37A-70A4-4C11-B66D-0FFFBC8276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10426" y="966070"/>
                <a:ext cx="447674" cy="483522"/>
              </a:xfrm>
              <a:prstGeom prst="rect">
                <a:avLst/>
              </a:prstGeom>
            </xdr:spPr>
          </xdr:pic>
          <xdr:pic>
            <xdr:nvPicPr>
              <xdr:cNvPr id="31" name="Graphic 30" descr="Daily calendar with solid fill">
                <a:extLst>
                  <a:ext uri="{FF2B5EF4-FFF2-40B4-BE49-F238E27FC236}">
                    <a16:creationId xmlns:a16="http://schemas.microsoft.com/office/drawing/2014/main" id="{2A6C73BB-CB46-0624-D1D9-6F70CAEED71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60430" y="163569"/>
                <a:ext cx="550012" cy="555569"/>
              </a:xfrm>
              <a:prstGeom prst="rect">
                <a:avLst/>
              </a:prstGeom>
            </xdr:spPr>
          </xdr:pic>
          <xdr:pic>
            <xdr:nvPicPr>
              <xdr:cNvPr id="33" name="Graphic 32" descr="Earth Globe - Asia with solid fill">
                <a:extLst>
                  <a:ext uri="{FF2B5EF4-FFF2-40B4-BE49-F238E27FC236}">
                    <a16:creationId xmlns:a16="http://schemas.microsoft.com/office/drawing/2014/main" id="{27E70674-548A-5B63-E79F-D2C0CFC70ED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53278" y="1844211"/>
                <a:ext cx="342859" cy="353815"/>
              </a:xfrm>
              <a:prstGeom prst="rect">
                <a:avLst/>
              </a:prstGeom>
            </xdr:spPr>
          </xdr:pic>
          <xdr:pic>
            <xdr:nvPicPr>
              <xdr:cNvPr id="35" name="Graphic 34" descr="Pie chart with solid fill">
                <a:extLst>
                  <a:ext uri="{FF2B5EF4-FFF2-40B4-BE49-F238E27FC236}">
                    <a16:creationId xmlns:a16="http://schemas.microsoft.com/office/drawing/2014/main" id="{F17AB446-307C-C639-0B26-2DE045307C4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69314" y="4765948"/>
                <a:ext cx="448577" cy="431781"/>
              </a:xfrm>
              <a:prstGeom prst="rect">
                <a:avLst/>
              </a:prstGeom>
            </xdr:spPr>
          </xdr:pic>
          <xdr:pic>
            <xdr:nvPicPr>
              <xdr:cNvPr id="37" name="Graphic 36" descr="Shopping cart with solid fill">
                <a:extLst>
                  <a:ext uri="{FF2B5EF4-FFF2-40B4-BE49-F238E27FC236}">
                    <a16:creationId xmlns:a16="http://schemas.microsoft.com/office/drawing/2014/main" id="{2A287CD3-5B5C-F3F5-E33D-EE869516D83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7639" y="191091"/>
                <a:ext cx="571499" cy="504199"/>
              </a:xfrm>
              <a:prstGeom prst="rect">
                <a:avLst/>
              </a:prstGeom>
            </xdr:spPr>
          </xdr:pic>
          <xdr:pic>
            <xdr:nvPicPr>
              <xdr:cNvPr id="39" name="Graphic 38" descr="Upward trend with solid fill">
                <a:extLst>
                  <a:ext uri="{FF2B5EF4-FFF2-40B4-BE49-F238E27FC236}">
                    <a16:creationId xmlns:a16="http://schemas.microsoft.com/office/drawing/2014/main" id="{F9476805-F2FD-94B2-E0D9-47DDA3F9F6A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88839" y="4803155"/>
                <a:ext cx="445311" cy="349936"/>
              </a:xfrm>
              <a:prstGeom prst="rect">
                <a:avLst/>
              </a:prstGeom>
            </xdr:spPr>
          </xdr:pic>
          <xdr:grpSp>
            <xdr:nvGrpSpPr>
              <xdr:cNvPr id="38" name="Group 37">
                <a:extLst>
                  <a:ext uri="{FF2B5EF4-FFF2-40B4-BE49-F238E27FC236}">
                    <a16:creationId xmlns:a16="http://schemas.microsoft.com/office/drawing/2014/main" id="{18679C5C-1007-4526-E9A1-86F0F02A0605}"/>
                  </a:ext>
                </a:extLst>
              </xdr:cNvPr>
              <xdr:cNvGrpSpPr/>
            </xdr:nvGrpSpPr>
            <xdr:grpSpPr>
              <a:xfrm>
                <a:off x="2138363" y="957263"/>
                <a:ext cx="504825" cy="509587"/>
                <a:chOff x="11991976" y="2171700"/>
                <a:chExt cx="575354" cy="561975"/>
              </a:xfrm>
            </xdr:grpSpPr>
            <xdr:sp macro="" textlink="">
              <xdr:nvSpPr>
                <xdr:cNvPr id="36" name="Teardrop 35">
                  <a:extLst>
                    <a:ext uri="{FF2B5EF4-FFF2-40B4-BE49-F238E27FC236}">
                      <a16:creationId xmlns:a16="http://schemas.microsoft.com/office/drawing/2014/main" id="{61A99597-4FD0-9B29-0A11-397FDC9A6772}"/>
                    </a:ext>
                  </a:extLst>
                </xdr:cNvPr>
                <xdr:cNvSpPr/>
              </xdr:nvSpPr>
              <xdr:spPr>
                <a:xfrm rot="10800000">
                  <a:off x="12034838" y="2171700"/>
                  <a:ext cx="504825" cy="561975"/>
                </a:xfrm>
                <a:prstGeom prst="teardrop">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30" name="Graphic 29" descr="Dollar with solid fill">
                  <a:extLst>
                    <a:ext uri="{FF2B5EF4-FFF2-40B4-BE49-F238E27FC236}">
                      <a16:creationId xmlns:a16="http://schemas.microsoft.com/office/drawing/2014/main" id="{F77D7413-44A6-E2E2-92BB-00C19BBE421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991976" y="2224087"/>
                  <a:ext cx="575354" cy="461964"/>
                </a:xfrm>
                <a:prstGeom prst="rect">
                  <a:avLst/>
                </a:prstGeom>
              </xdr:spPr>
            </xdr:pic>
          </xdr:grpSp>
          <xdr:pic>
            <xdr:nvPicPr>
              <xdr:cNvPr id="34" name="Graphic 33" descr="Money with solid fill">
                <a:extLst>
                  <a:ext uri="{FF2B5EF4-FFF2-40B4-BE49-F238E27FC236}">
                    <a16:creationId xmlns:a16="http://schemas.microsoft.com/office/drawing/2014/main" id="{027CC7B3-143D-95EE-4A33-28B3E8F9159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574364" y="950099"/>
                <a:ext cx="661106" cy="592952"/>
              </a:xfrm>
              <a:prstGeom prst="rect">
                <a:avLst/>
              </a:prstGeom>
            </xdr:spPr>
          </xdr:pic>
          <xdr:sp macro="" textlink="">
            <xdr:nvSpPr>
              <xdr:cNvPr id="40" name="Cube 39">
                <a:extLst>
                  <a:ext uri="{FF2B5EF4-FFF2-40B4-BE49-F238E27FC236}">
                    <a16:creationId xmlns:a16="http://schemas.microsoft.com/office/drawing/2014/main" id="{2F4830D6-465B-7DF7-B922-D57F2C9E04C7}"/>
                  </a:ext>
                </a:extLst>
              </xdr:cNvPr>
              <xdr:cNvSpPr/>
            </xdr:nvSpPr>
            <xdr:spPr>
              <a:xfrm>
                <a:off x="9758361" y="1090613"/>
                <a:ext cx="304800" cy="300037"/>
              </a:xfrm>
              <a:prstGeom prst="cube">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grpSp>
        <xdr:sp macro="" textlink="S2">
          <xdr:nvSpPr>
            <xdr:cNvPr id="43" name="Rectangle 42">
              <a:extLst>
                <a:ext uri="{FF2B5EF4-FFF2-40B4-BE49-F238E27FC236}">
                  <a16:creationId xmlns:a16="http://schemas.microsoft.com/office/drawing/2014/main" id="{0EACAA5D-B725-763F-0686-F63B6664A386}"/>
                </a:ext>
              </a:extLst>
            </xdr:cNvPr>
            <xdr:cNvSpPr/>
          </xdr:nvSpPr>
          <xdr:spPr>
            <a:xfrm>
              <a:off x="9690100" y="317500"/>
              <a:ext cx="2051050" cy="2222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5C6214-8FFE-4F17-B3A7-4753A800EBDC}" type="TxLink">
                <a:rPr lang="en-US" sz="1400" b="1" i="0" u="none" strike="noStrike">
                  <a:solidFill>
                    <a:schemeClr val="bg1"/>
                  </a:solidFill>
                  <a:latin typeface="Calibri"/>
                  <a:ea typeface="Calibri"/>
                  <a:cs typeface="Calibri"/>
                </a:rPr>
                <a:pPr algn="l"/>
                <a:t>Last Updated:July-2026</a:t>
              </a:fld>
              <a:endParaRPr lang="en-IN" sz="1400" b="1">
                <a:solidFill>
                  <a:schemeClr val="bg1"/>
                </a:solidFill>
              </a:endParaRPr>
            </a:p>
          </xdr:txBody>
        </xdr:sp>
      </xdr:grpSp>
      <xdr:pic>
        <xdr:nvPicPr>
          <xdr:cNvPr id="26" name="Picture 25">
            <a:extLst>
              <a:ext uri="{FF2B5EF4-FFF2-40B4-BE49-F238E27FC236}">
                <a16:creationId xmlns:a16="http://schemas.microsoft.com/office/drawing/2014/main" id="{057E341B-6363-1F81-C49C-A59B543C7C76}"/>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855085" y="865933"/>
            <a:ext cx="1131094" cy="23810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Chand" refreshedDate="46207.918349305553" createdVersion="8" refreshedVersion="8" minRefreshableVersion="3" recordCount="100" xr:uid="{1AA0C624-0EF1-4EF0-88F3-CF5DE4BA1CEF}">
  <cacheSource type="worksheet">
    <worksheetSource ref="A1:N101" sheet="Sheet"/>
  </cacheSource>
  <cacheFields count="16">
    <cacheField name="Column1"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acheField>
    <cacheField name="Order Date" numFmtId="164">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fieldGroup par="15"/>
    </cacheField>
    <cacheField name="Order ID" numFmtId="0">
      <sharedItems containsSemiMixedTypes="0" containsString="0" containsNumber="1" containsInteger="1" minValue="114606559" maxValue="994022214"/>
    </cacheField>
    <cacheField name="Ship Date" numFmtId="164">
      <sharedItems containsSemiMixedTypes="0" containsNonDate="0" containsDate="1" containsString="0" minDate="2010-01-08T00:00:00" maxDate="2017-06-18T00:00:00"/>
    </cacheField>
    <cacheField name="Units Sold" numFmtId="0">
      <sharedItems containsSemiMixedTypes="0" containsString="0" containsNumber="1" containsInteger="1" minValue="124" maxValue="9925"/>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4870.26" maxValue="5997054.9800000004"/>
    </cacheField>
    <cacheField name="Total Cost" numFmtId="0">
      <sharedItems containsSemiMixedTypes="0" containsString="0" containsNumber="1" minValue="3612.24" maxValue="4509793.96"/>
    </cacheField>
    <cacheField name="Total Profit" numFmtId="0">
      <sharedItems containsSemiMixedTypes="0" containsString="0" containsNumber="1" minValue="1258.02" maxValue="1719922.04"/>
    </cacheField>
    <cacheField name="Months (Order Date)" numFmtId="0" databaseField="0">
      <fieldGroup base="5">
        <rangePr groupBy="months" startDate="2010-02-02T00:00:00" endDate="2017-05-23T00:00:00"/>
        <groupItems count="14">
          <s v="&lt;02-02-2010"/>
          <s v="Jan"/>
          <s v="Feb"/>
          <s v="Mar"/>
          <s v="Apr"/>
          <s v="May"/>
          <s v="Jun"/>
          <s v="Jul"/>
          <s v="Aug"/>
          <s v="Sep"/>
          <s v="Oct"/>
          <s v="Nov"/>
          <s v="Dec"/>
          <s v="&gt;23-05-2017"/>
        </groupItems>
      </fieldGroup>
    </cacheField>
    <cacheField name="Years (Order Date)" numFmtId="0" databaseField="0">
      <fieldGroup base="5">
        <rangePr groupBy="years" startDate="2010-02-02T00:00:00" endDate="2017-05-23T00:00:00"/>
        <groupItems count="10">
          <s v="&lt;02-02-2010"/>
          <s v="2010"/>
          <s v="2011"/>
          <s v="2012"/>
          <s v="2013"/>
          <s v="2014"/>
          <s v="2015"/>
          <s v="2016"/>
          <s v="2017"/>
          <s v="&gt;23-05-2017"/>
        </groupItems>
      </fieldGroup>
    </cacheField>
  </cacheFields>
  <extLst>
    <ext xmlns:x14="http://schemas.microsoft.com/office/spreadsheetml/2009/9/main" uri="{725AE2AE-9491-48be-B2B4-4EB974FC3084}">
      <x14:pivotCacheDefinition pivotCacheId="1052413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H"/>
    <x v="0"/>
    <n v="669165933"/>
    <d v="2010-06-27T00:00:00"/>
    <n v="9925"/>
    <n v="255.28"/>
    <n v="159.41999999999999"/>
    <n v="2533654"/>
    <n v="1582243.5"/>
    <n v="951410.5"/>
  </r>
  <r>
    <x v="1"/>
    <x v="1"/>
    <x v="1"/>
    <x v="1"/>
    <s v="C"/>
    <x v="1"/>
    <n v="963881480"/>
    <d v="2012-09-15T00:00:00"/>
    <n v="2804"/>
    <n v="205.7"/>
    <n v="117.11"/>
    <n v="576782.80000000005"/>
    <n v="328376.44"/>
    <n v="248406.36"/>
  </r>
  <r>
    <x v="2"/>
    <x v="2"/>
    <x v="2"/>
    <x v="0"/>
    <s v="L"/>
    <x v="2"/>
    <n v="341417157"/>
    <d v="2014-08-05T00:00:00"/>
    <n v="1779"/>
    <n v="651.21"/>
    <n v="524.96"/>
    <n v="1158502.5900000001"/>
    <n v="933903.84"/>
    <n v="224598.75"/>
  </r>
  <r>
    <x v="3"/>
    <x v="3"/>
    <x v="3"/>
    <x v="1"/>
    <s v="C"/>
    <x v="3"/>
    <n v="514321792"/>
    <d v="2014-05-07T00:00:00"/>
    <n v="8102"/>
    <n v="9.33"/>
    <n v="6.92"/>
    <n v="75591.66"/>
    <n v="56065.84"/>
    <n v="19525.82"/>
  </r>
  <r>
    <x v="3"/>
    <x v="4"/>
    <x v="2"/>
    <x v="0"/>
    <s v="L"/>
    <x v="4"/>
    <n v="115456712"/>
    <d v="2013-06-02T00:00:00"/>
    <n v="5062"/>
    <n v="651.21"/>
    <n v="524.96"/>
    <n v="3296425.02"/>
    <n v="2657347.52"/>
    <n v="639077.5"/>
  </r>
  <r>
    <x v="0"/>
    <x v="5"/>
    <x v="0"/>
    <x v="1"/>
    <s v="C"/>
    <x v="5"/>
    <n v="547995746"/>
    <d v="2015-02-21T00:00:00"/>
    <n v="2974"/>
    <n v="255.28"/>
    <n v="159.41999999999999"/>
    <n v="759202.72"/>
    <n v="474115.08"/>
    <n v="285087.64"/>
  </r>
  <r>
    <x v="3"/>
    <x v="6"/>
    <x v="4"/>
    <x v="0"/>
    <s v="M"/>
    <x v="6"/>
    <n v="135425221"/>
    <d v="2011-04-27T00:00:00"/>
    <n v="4187"/>
    <n v="668.27"/>
    <n v="502.54"/>
    <n v="2798046.49"/>
    <n v="2104134.98"/>
    <n v="693911.51"/>
  </r>
  <r>
    <x v="3"/>
    <x v="7"/>
    <x v="5"/>
    <x v="1"/>
    <s v="H"/>
    <x v="7"/>
    <n v="871543967"/>
    <d v="2012-07-27T00:00:00"/>
    <n v="8082"/>
    <n v="154.06"/>
    <n v="90.93"/>
    <n v="1245112.92"/>
    <n v="734896.26"/>
    <n v="510216.66"/>
  </r>
  <r>
    <x v="3"/>
    <x v="8"/>
    <x v="6"/>
    <x v="0"/>
    <s v="M"/>
    <x v="8"/>
    <n v="770463311"/>
    <d v="2015-08-25T00:00:00"/>
    <n v="6070"/>
    <n v="81.73"/>
    <n v="56.67"/>
    <n v="496101.1"/>
    <n v="343986.9"/>
    <n v="152114.20000000001"/>
  </r>
  <r>
    <x v="3"/>
    <x v="9"/>
    <x v="1"/>
    <x v="1"/>
    <s v="H"/>
    <x v="9"/>
    <n v="616607081"/>
    <d v="2014-05-30T00:00:00"/>
    <n v="6593"/>
    <n v="205.7"/>
    <n v="117.11"/>
    <n v="1356180.1"/>
    <n v="772106.23"/>
    <n v="584073.87"/>
  </r>
  <r>
    <x v="4"/>
    <x v="10"/>
    <x v="5"/>
    <x v="1"/>
    <s v="H"/>
    <x v="10"/>
    <n v="814711606"/>
    <d v="2011-12-07T00:00:00"/>
    <n v="124"/>
    <n v="154.06"/>
    <n v="90.93"/>
    <n v="19103.439999999999"/>
    <n v="11275.32"/>
    <n v="7828.12"/>
  </r>
  <r>
    <x v="3"/>
    <x v="11"/>
    <x v="7"/>
    <x v="0"/>
    <s v="H"/>
    <x v="11"/>
    <n v="939825713"/>
    <d v="2014-08-19T00:00:00"/>
    <n v="4168"/>
    <n v="109.28"/>
    <n v="35.840000000000003"/>
    <n v="455479.03999999998"/>
    <n v="149381.12"/>
    <n v="306097.91999999998"/>
  </r>
  <r>
    <x v="4"/>
    <x v="12"/>
    <x v="7"/>
    <x v="1"/>
    <s v="L"/>
    <x v="12"/>
    <n v="187310731"/>
    <d v="2017-01-03T00:00:00"/>
    <n v="8263"/>
    <n v="109.28"/>
    <n v="35.840000000000003"/>
    <n v="902980.64"/>
    <n v="296145.91999999998"/>
    <n v="606834.72"/>
  </r>
  <r>
    <x v="1"/>
    <x v="13"/>
    <x v="4"/>
    <x v="0"/>
    <s v="H"/>
    <x v="13"/>
    <n v="522840487"/>
    <d v="2017-02-13T00:00:00"/>
    <n v="8974"/>
    <n v="668.27"/>
    <n v="502.54"/>
    <n v="5997054.9800000004"/>
    <n v="4509793.96"/>
    <n v="1487261.02"/>
  </r>
  <r>
    <x v="4"/>
    <x v="14"/>
    <x v="6"/>
    <x v="0"/>
    <s v="C"/>
    <x v="14"/>
    <n v="832401311"/>
    <d v="2014-02-23T00:00:00"/>
    <n v="4901"/>
    <n v="81.73"/>
    <n v="56.67"/>
    <n v="400558.73"/>
    <n v="277739.67"/>
    <n v="122819.06"/>
  </r>
  <r>
    <x v="2"/>
    <x v="15"/>
    <x v="7"/>
    <x v="1"/>
    <s v="M"/>
    <x v="15"/>
    <n v="972292029"/>
    <d v="2012-03-06T00:00:00"/>
    <n v="1673"/>
    <n v="109.28"/>
    <n v="35.840000000000003"/>
    <n v="182825.44"/>
    <n v="59960.32"/>
    <n v="122865.12"/>
  </r>
  <r>
    <x v="4"/>
    <x v="16"/>
    <x v="8"/>
    <x v="0"/>
    <s v="M"/>
    <x v="16"/>
    <n v="419123971"/>
    <d v="2016-12-18T00:00:00"/>
    <n v="6952"/>
    <n v="437.2"/>
    <n v="263.33"/>
    <n v="3039414.4"/>
    <n v="1830670.16"/>
    <n v="1208744.24"/>
  </r>
  <r>
    <x v="3"/>
    <x v="17"/>
    <x v="9"/>
    <x v="0"/>
    <s v="C"/>
    <x v="17"/>
    <n v="519820964"/>
    <d v="2015-04-18T00:00:00"/>
    <n v="5430"/>
    <n v="47.45"/>
    <n v="31.79"/>
    <n v="257653.5"/>
    <n v="172619.7"/>
    <n v="85033.8"/>
  </r>
  <r>
    <x v="4"/>
    <x v="18"/>
    <x v="4"/>
    <x v="0"/>
    <s v="L"/>
    <x v="18"/>
    <n v="441619336"/>
    <d v="2011-01-20T00:00:00"/>
    <n v="3830"/>
    <n v="668.27"/>
    <n v="502.54"/>
    <n v="2559474.1"/>
    <n v="1924728.2"/>
    <n v="634745.9"/>
  </r>
  <r>
    <x v="0"/>
    <x v="19"/>
    <x v="10"/>
    <x v="1"/>
    <s v="L"/>
    <x v="19"/>
    <n v="322067916"/>
    <d v="2012-11-09T00:00:00"/>
    <n v="5908"/>
    <n v="421.89"/>
    <n v="364.69"/>
    <n v="2492526.12"/>
    <n v="2154588.52"/>
    <n v="337937.6"/>
  </r>
  <r>
    <x v="2"/>
    <x v="20"/>
    <x v="0"/>
    <x v="1"/>
    <s v="L"/>
    <x v="20"/>
    <n v="819028031"/>
    <d v="2014-06-28T00:00:00"/>
    <n v="7450"/>
    <n v="255.28"/>
    <n v="159.41999999999999"/>
    <n v="1901836"/>
    <n v="1187679"/>
    <n v="714157"/>
  </r>
  <r>
    <x v="2"/>
    <x v="21"/>
    <x v="0"/>
    <x v="1"/>
    <s v="H"/>
    <x v="21"/>
    <n v="860673511"/>
    <d v="2015-03-09T00:00:00"/>
    <n v="1273"/>
    <n v="255.28"/>
    <n v="159.41999999999999"/>
    <n v="324971.44"/>
    <n v="202941.66"/>
    <n v="122029.78"/>
  </r>
  <r>
    <x v="1"/>
    <x v="13"/>
    <x v="11"/>
    <x v="1"/>
    <s v="L"/>
    <x v="22"/>
    <n v="795490682"/>
    <d v="2016-07-26T00:00:00"/>
    <n v="2225"/>
    <n v="152.58000000000001"/>
    <n v="97.44"/>
    <n v="339490.5"/>
    <n v="216804"/>
    <n v="122686.5"/>
  </r>
  <r>
    <x v="0"/>
    <x v="22"/>
    <x v="3"/>
    <x v="1"/>
    <s v="H"/>
    <x v="23"/>
    <n v="142278373"/>
    <d v="2014-04-10T00:00:00"/>
    <n v="2187"/>
    <n v="9.33"/>
    <n v="6.92"/>
    <n v="20404.71"/>
    <n v="15134.04"/>
    <n v="5270.67"/>
  </r>
  <r>
    <x v="2"/>
    <x v="23"/>
    <x v="6"/>
    <x v="1"/>
    <s v="L"/>
    <x v="24"/>
    <n v="740147912"/>
    <d v="2016-10-05T00:00:00"/>
    <n v="5070"/>
    <n v="81.73"/>
    <n v="56.67"/>
    <n v="414371.1"/>
    <n v="287316.90000000002"/>
    <n v="127054.2"/>
  </r>
  <r>
    <x v="2"/>
    <x v="24"/>
    <x v="8"/>
    <x v="1"/>
    <s v="H"/>
    <x v="25"/>
    <n v="898523128"/>
    <d v="2017-05-06T00:00:00"/>
    <n v="1815"/>
    <n v="437.2"/>
    <n v="263.33"/>
    <n v="793518"/>
    <n v="477943.95"/>
    <n v="315574.05"/>
  </r>
  <r>
    <x v="0"/>
    <x v="25"/>
    <x v="3"/>
    <x v="1"/>
    <s v="M"/>
    <x v="26"/>
    <n v="347140347"/>
    <d v="2014-10-11T00:00:00"/>
    <n v="5398"/>
    <n v="9.33"/>
    <n v="6.92"/>
    <n v="50363.34"/>
    <n v="37354.160000000003"/>
    <n v="13009.18"/>
  </r>
  <r>
    <x v="3"/>
    <x v="26"/>
    <x v="3"/>
    <x v="1"/>
    <s v="L"/>
    <x v="27"/>
    <n v="686048400"/>
    <d v="2010-10-05T00:00:00"/>
    <n v="5822"/>
    <n v="9.33"/>
    <n v="6.92"/>
    <n v="54319.26"/>
    <n v="40288.239999999998"/>
    <n v="14031.02"/>
  </r>
  <r>
    <x v="2"/>
    <x v="20"/>
    <x v="9"/>
    <x v="0"/>
    <s v="C"/>
    <x v="28"/>
    <n v="435608613"/>
    <d v="2014-07-30T00:00:00"/>
    <n v="5124"/>
    <n v="47.45"/>
    <n v="31.79"/>
    <n v="243133.8"/>
    <n v="162891.96"/>
    <n v="80241.84"/>
  </r>
  <r>
    <x v="3"/>
    <x v="27"/>
    <x v="4"/>
    <x v="0"/>
    <s v="L"/>
    <x v="29"/>
    <n v="886494815"/>
    <d v="2012-09-06T00:00:00"/>
    <n v="2370"/>
    <n v="668.27"/>
    <n v="502.54"/>
    <n v="1583799.9"/>
    <n v="1191019.8"/>
    <n v="392780.1"/>
  </r>
  <r>
    <x v="2"/>
    <x v="28"/>
    <x v="8"/>
    <x v="0"/>
    <s v="M"/>
    <x v="30"/>
    <n v="249693334"/>
    <d v="2012-10-20T00:00:00"/>
    <n v="8661"/>
    <n v="437.2"/>
    <n v="263.33"/>
    <n v="3786589.2"/>
    <n v="2280701.13"/>
    <n v="1505888.07"/>
  </r>
  <r>
    <x v="3"/>
    <x v="29"/>
    <x v="6"/>
    <x v="0"/>
    <s v="C"/>
    <x v="31"/>
    <n v="406502997"/>
    <d v="2014-01-28T00:00:00"/>
    <n v="2125"/>
    <n v="81.73"/>
    <n v="56.67"/>
    <n v="173676.25"/>
    <n v="120423.75"/>
    <n v="53252.5"/>
  </r>
  <r>
    <x v="0"/>
    <x v="30"/>
    <x v="2"/>
    <x v="1"/>
    <s v="C"/>
    <x v="32"/>
    <n v="158535134"/>
    <d v="2015-11-25T00:00:00"/>
    <n v="2924"/>
    <n v="651.21"/>
    <n v="524.96"/>
    <n v="1904138.04"/>
    <n v="1534983.04"/>
    <n v="369155"/>
  </r>
  <r>
    <x v="4"/>
    <x v="31"/>
    <x v="4"/>
    <x v="0"/>
    <s v="H"/>
    <x v="33"/>
    <n v="177713572"/>
    <d v="2015-01-03T00:00:00"/>
    <n v="8250"/>
    <n v="668.27"/>
    <n v="502.54"/>
    <n v="5513227.5"/>
    <n v="4145955"/>
    <n v="1367272.5"/>
  </r>
  <r>
    <x v="3"/>
    <x v="32"/>
    <x v="11"/>
    <x v="1"/>
    <s v="M"/>
    <x v="34"/>
    <n v="756274640"/>
    <d v="2017-02-25T00:00:00"/>
    <n v="7327"/>
    <n v="152.58000000000001"/>
    <n v="97.44"/>
    <n v="1117953.6599999999"/>
    <n v="713942.88"/>
    <n v="404010.78"/>
  </r>
  <r>
    <x v="1"/>
    <x v="33"/>
    <x v="6"/>
    <x v="0"/>
    <s v="L"/>
    <x v="35"/>
    <n v="456767165"/>
    <d v="2017-05-21T00:00:00"/>
    <n v="6409"/>
    <n v="81.73"/>
    <n v="56.67"/>
    <n v="523807.57"/>
    <n v="363198.03"/>
    <n v="160609.54"/>
  </r>
  <r>
    <x v="5"/>
    <x v="34"/>
    <x v="3"/>
    <x v="1"/>
    <s v="L"/>
    <x v="36"/>
    <n v="162052476"/>
    <d v="2011-03-12T00:00:00"/>
    <n v="3784"/>
    <n v="9.33"/>
    <n v="6.92"/>
    <n v="35304.720000000001"/>
    <n v="26185.279999999999"/>
    <n v="9119.44"/>
  </r>
  <r>
    <x v="3"/>
    <x v="27"/>
    <x v="10"/>
    <x v="1"/>
    <s v="M"/>
    <x v="37"/>
    <n v="825304400"/>
    <d v="2017-01-23T00:00:00"/>
    <n v="4767"/>
    <n v="421.89"/>
    <n v="364.69"/>
    <n v="2011149.63"/>
    <n v="1738477.23"/>
    <n v="272672.40000000002"/>
  </r>
  <r>
    <x v="4"/>
    <x v="35"/>
    <x v="2"/>
    <x v="1"/>
    <s v="L"/>
    <x v="38"/>
    <n v="320009267"/>
    <d v="2012-08-05T00:00:00"/>
    <n v="6708"/>
    <n v="651.21"/>
    <n v="524.96"/>
    <n v="4368316.68"/>
    <n v="3521431.68"/>
    <n v="846885"/>
  </r>
  <r>
    <x v="2"/>
    <x v="15"/>
    <x v="2"/>
    <x v="1"/>
    <s v="M"/>
    <x v="39"/>
    <n v="189965903"/>
    <d v="2012-02-28T00:00:00"/>
    <n v="3987"/>
    <n v="651.21"/>
    <n v="524.96"/>
    <n v="2596374.27"/>
    <n v="2093015.52"/>
    <n v="503358.75"/>
  </r>
  <r>
    <x v="3"/>
    <x v="36"/>
    <x v="6"/>
    <x v="1"/>
    <s v="H"/>
    <x v="40"/>
    <n v="699285638"/>
    <d v="2017-03-28T00:00:00"/>
    <n v="3015"/>
    <n v="81.73"/>
    <n v="56.67"/>
    <n v="246415.95"/>
    <n v="170860.05"/>
    <n v="75555.899999999994"/>
  </r>
  <r>
    <x v="5"/>
    <x v="37"/>
    <x v="8"/>
    <x v="1"/>
    <s v="M"/>
    <x v="41"/>
    <n v="382392299"/>
    <d v="2010-02-25T00:00:00"/>
    <n v="7234"/>
    <n v="437.2"/>
    <n v="263.33"/>
    <n v="3162704.8"/>
    <n v="1904929.22"/>
    <n v="1257775.58"/>
  </r>
  <r>
    <x v="3"/>
    <x v="27"/>
    <x v="1"/>
    <x v="0"/>
    <s v="H"/>
    <x v="42"/>
    <n v="994022214"/>
    <d v="2012-08-06T00:00:00"/>
    <n v="2117"/>
    <n v="205.7"/>
    <n v="117.11"/>
    <n v="435466.9"/>
    <n v="247921.87"/>
    <n v="187545.03"/>
  </r>
  <r>
    <x v="2"/>
    <x v="38"/>
    <x v="5"/>
    <x v="1"/>
    <s v="H"/>
    <x v="43"/>
    <n v="759224212"/>
    <d v="2012-10-11T00:00:00"/>
    <n v="171"/>
    <n v="154.06"/>
    <n v="90.93"/>
    <n v="26344.26"/>
    <n v="15549.03"/>
    <n v="10795.23"/>
  </r>
  <r>
    <x v="4"/>
    <x v="31"/>
    <x v="7"/>
    <x v="1"/>
    <s v="H"/>
    <x v="44"/>
    <n v="223359620"/>
    <d v="2015-11-18T00:00:00"/>
    <n v="5930"/>
    <n v="109.28"/>
    <n v="35.840000000000003"/>
    <n v="648030.4"/>
    <n v="212531.20000000001"/>
    <n v="435499.2"/>
  </r>
  <r>
    <x v="3"/>
    <x v="39"/>
    <x v="1"/>
    <x v="0"/>
    <s v="H"/>
    <x v="45"/>
    <n v="902102267"/>
    <d v="2016-04-29T00:00:00"/>
    <n v="962"/>
    <n v="205.7"/>
    <n v="117.11"/>
    <n v="197883.4"/>
    <n v="112659.82"/>
    <n v="85223.58"/>
  </r>
  <r>
    <x v="2"/>
    <x v="40"/>
    <x v="8"/>
    <x v="1"/>
    <s v="C"/>
    <x v="46"/>
    <n v="331438481"/>
    <d v="2016-12-31T00:00:00"/>
    <n v="8867"/>
    <n v="437.2"/>
    <n v="263.33"/>
    <n v="3876652.4"/>
    <n v="2334947.11"/>
    <n v="1541705.29"/>
  </r>
  <r>
    <x v="2"/>
    <x v="28"/>
    <x v="6"/>
    <x v="1"/>
    <s v="M"/>
    <x v="47"/>
    <n v="617667090"/>
    <d v="2011-01-31T00:00:00"/>
    <n v="273"/>
    <n v="81.73"/>
    <n v="56.67"/>
    <n v="22312.29"/>
    <n v="15470.91"/>
    <n v="6841.38"/>
  </r>
  <r>
    <x v="2"/>
    <x v="41"/>
    <x v="7"/>
    <x v="0"/>
    <s v="C"/>
    <x v="48"/>
    <n v="787399423"/>
    <d v="2014-11-14T00:00:00"/>
    <n v="7842"/>
    <n v="109.28"/>
    <n v="35.840000000000003"/>
    <n v="856973.76"/>
    <n v="281057.28000000003"/>
    <n v="575916.48"/>
  </r>
  <r>
    <x v="3"/>
    <x v="42"/>
    <x v="2"/>
    <x v="0"/>
    <s v="C"/>
    <x v="49"/>
    <n v="837559306"/>
    <d v="2012-01-13T00:00:00"/>
    <n v="1266"/>
    <n v="651.21"/>
    <n v="524.96"/>
    <n v="824431.86"/>
    <n v="664599.36"/>
    <n v="159832.5"/>
  </r>
  <r>
    <x v="2"/>
    <x v="43"/>
    <x v="7"/>
    <x v="1"/>
    <s v="C"/>
    <x v="50"/>
    <n v="385383069"/>
    <d v="2010-03-18T00:00:00"/>
    <n v="2269"/>
    <n v="109.28"/>
    <n v="35.840000000000003"/>
    <n v="247956.32"/>
    <n v="81320.960000000006"/>
    <n v="166635.35999999999"/>
  </r>
  <r>
    <x v="3"/>
    <x v="44"/>
    <x v="3"/>
    <x v="1"/>
    <s v="L"/>
    <x v="51"/>
    <n v="918419539"/>
    <d v="2013-09-18T00:00:00"/>
    <n v="9606"/>
    <n v="9.33"/>
    <n v="6.92"/>
    <n v="89623.98"/>
    <n v="66473.52"/>
    <n v="23150.46"/>
  </r>
  <r>
    <x v="5"/>
    <x v="45"/>
    <x v="1"/>
    <x v="1"/>
    <s v="M"/>
    <x v="52"/>
    <n v="844530045"/>
    <d v="2013-03-28T00:00:00"/>
    <n v="4063"/>
    <n v="205.7"/>
    <n v="117.11"/>
    <n v="835759.1"/>
    <n v="475817.93"/>
    <n v="359941.17"/>
  </r>
  <r>
    <x v="3"/>
    <x v="46"/>
    <x v="2"/>
    <x v="0"/>
    <s v="M"/>
    <x v="53"/>
    <n v="441888415"/>
    <d v="2012-07-01T00:00:00"/>
    <n v="3457"/>
    <n v="651.21"/>
    <n v="524.96"/>
    <n v="2251232.9700000002"/>
    <n v="1814786.72"/>
    <n v="436446.25"/>
  </r>
  <r>
    <x v="3"/>
    <x v="3"/>
    <x v="3"/>
    <x v="0"/>
    <s v="H"/>
    <x v="54"/>
    <n v="508980977"/>
    <d v="2013-10-24T00:00:00"/>
    <n v="7637"/>
    <n v="9.33"/>
    <n v="6.92"/>
    <n v="71253.210000000006"/>
    <n v="52848.04"/>
    <n v="18405.169999999998"/>
  </r>
  <r>
    <x v="3"/>
    <x v="47"/>
    <x v="7"/>
    <x v="1"/>
    <s v="C"/>
    <x v="55"/>
    <n v="114606559"/>
    <d v="2012-06-27T00:00:00"/>
    <n v="3482"/>
    <n v="109.28"/>
    <n v="35.840000000000003"/>
    <n v="380512.96"/>
    <n v="124794.88"/>
    <n v="255718.08"/>
  </r>
  <r>
    <x v="0"/>
    <x v="48"/>
    <x v="7"/>
    <x v="0"/>
    <s v="C"/>
    <x v="56"/>
    <n v="647876489"/>
    <d v="2010-01-08T00:00:00"/>
    <n v="9905"/>
    <n v="109.28"/>
    <n v="35.840000000000003"/>
    <n v="1082418.3999999999"/>
    <n v="354995.20000000001"/>
    <n v="727423.2"/>
  </r>
  <r>
    <x v="2"/>
    <x v="49"/>
    <x v="8"/>
    <x v="0"/>
    <s v="H"/>
    <x v="57"/>
    <n v="868214595"/>
    <d v="2015-02-03T00:00:00"/>
    <n v="2847"/>
    <n v="437.2"/>
    <n v="263.33"/>
    <n v="1244708.3999999999"/>
    <n v="749700.51"/>
    <n v="495007.89"/>
  </r>
  <r>
    <x v="2"/>
    <x v="50"/>
    <x v="4"/>
    <x v="1"/>
    <s v="L"/>
    <x v="58"/>
    <n v="955357205"/>
    <d v="2012-02-14T00:00:00"/>
    <n v="282"/>
    <n v="668.27"/>
    <n v="502.54"/>
    <n v="188452.14"/>
    <n v="141716.28"/>
    <n v="46735.86"/>
  </r>
  <r>
    <x v="3"/>
    <x v="32"/>
    <x v="8"/>
    <x v="0"/>
    <s v="H"/>
    <x v="59"/>
    <n v="259353148"/>
    <d v="2014-04-19T00:00:00"/>
    <n v="7215"/>
    <n v="437.2"/>
    <n v="263.33"/>
    <n v="3154398"/>
    <n v="1899925.95"/>
    <n v="1254472.05"/>
  </r>
  <r>
    <x v="0"/>
    <x v="30"/>
    <x v="1"/>
    <x v="0"/>
    <s v="H"/>
    <x v="60"/>
    <n v="450563752"/>
    <d v="2013-02-07T00:00:00"/>
    <n v="682"/>
    <n v="205.7"/>
    <n v="117.11"/>
    <n v="140287.4"/>
    <n v="79869.02"/>
    <n v="60418.38"/>
  </r>
  <r>
    <x v="2"/>
    <x v="51"/>
    <x v="0"/>
    <x v="1"/>
    <s v="L"/>
    <x v="61"/>
    <n v="569662845"/>
    <d v="2013-01-07T00:00:00"/>
    <n v="4750"/>
    <n v="255.28"/>
    <n v="159.41999999999999"/>
    <n v="1212580"/>
    <n v="757245"/>
    <n v="455335"/>
  </r>
  <r>
    <x v="3"/>
    <x v="17"/>
    <x v="2"/>
    <x v="1"/>
    <s v="M"/>
    <x v="62"/>
    <n v="177636754"/>
    <d v="2011-11-15T00:00:00"/>
    <n v="5518"/>
    <n v="651.21"/>
    <n v="524.96"/>
    <n v="3593376.78"/>
    <n v="2896729.28"/>
    <n v="696647.5"/>
  </r>
  <r>
    <x v="5"/>
    <x v="52"/>
    <x v="7"/>
    <x v="0"/>
    <s v="H"/>
    <x v="63"/>
    <n v="705784308"/>
    <d v="2010-11-17T00:00:00"/>
    <n v="6116"/>
    <n v="109.28"/>
    <n v="35.840000000000003"/>
    <n v="668356.48"/>
    <n v="219197.44"/>
    <n v="449159.04"/>
  </r>
  <r>
    <x v="1"/>
    <x v="53"/>
    <x v="8"/>
    <x v="0"/>
    <s v="H"/>
    <x v="64"/>
    <n v="505716836"/>
    <d v="2013-11-16T00:00:00"/>
    <n v="1705"/>
    <n v="437.2"/>
    <n v="263.33"/>
    <n v="745426"/>
    <n v="448977.65"/>
    <n v="296448.34999999998"/>
  </r>
  <r>
    <x v="3"/>
    <x v="4"/>
    <x v="8"/>
    <x v="0"/>
    <s v="H"/>
    <x v="65"/>
    <n v="699358165"/>
    <d v="2013-11-25T00:00:00"/>
    <n v="4477"/>
    <n v="437.2"/>
    <n v="263.33"/>
    <n v="1957344.4"/>
    <n v="1178928.4099999999"/>
    <n v="778415.99"/>
  </r>
  <r>
    <x v="3"/>
    <x v="54"/>
    <x v="6"/>
    <x v="0"/>
    <s v="L"/>
    <x v="66"/>
    <n v="228944623"/>
    <d v="2012-09-07T00:00:00"/>
    <n v="8656"/>
    <n v="81.73"/>
    <n v="56.67"/>
    <n v="707454.88"/>
    <n v="490535.52"/>
    <n v="216919.36"/>
  </r>
  <r>
    <x v="1"/>
    <x v="55"/>
    <x v="7"/>
    <x v="0"/>
    <s v="M"/>
    <x v="67"/>
    <n v="807025039"/>
    <d v="2016-07-09T00:00:00"/>
    <n v="5498"/>
    <n v="109.28"/>
    <n v="35.840000000000003"/>
    <n v="600821.43999999994"/>
    <n v="197048.32000000001"/>
    <n v="403773.12"/>
  </r>
  <r>
    <x v="2"/>
    <x v="56"/>
    <x v="2"/>
    <x v="0"/>
    <s v="H"/>
    <x v="68"/>
    <n v="166460740"/>
    <d v="2010-11-17T00:00:00"/>
    <n v="8287"/>
    <n v="651.21"/>
    <n v="524.96"/>
    <n v="5396577.2699999996"/>
    <n v="4350343.5199999996"/>
    <n v="1046233.75"/>
  </r>
  <r>
    <x v="3"/>
    <x v="57"/>
    <x v="7"/>
    <x v="0"/>
    <s v="L"/>
    <x v="69"/>
    <n v="610425555"/>
    <d v="2015-05-28T00:00:00"/>
    <n v="7342"/>
    <n v="109.28"/>
    <n v="35.840000000000003"/>
    <n v="802333.76"/>
    <n v="263137.28000000003"/>
    <n v="539196.48"/>
  </r>
  <r>
    <x v="4"/>
    <x v="18"/>
    <x v="2"/>
    <x v="1"/>
    <s v="M"/>
    <x v="70"/>
    <n v="462405812"/>
    <d v="2013-05-20T00:00:00"/>
    <n v="5010"/>
    <n v="651.21"/>
    <n v="524.96"/>
    <n v="3262562.1"/>
    <n v="2630049.6"/>
    <n v="632512.5"/>
  </r>
  <r>
    <x v="5"/>
    <x v="52"/>
    <x v="3"/>
    <x v="1"/>
    <s v="L"/>
    <x v="71"/>
    <n v="816200339"/>
    <d v="2015-09-30T00:00:00"/>
    <n v="673"/>
    <n v="9.33"/>
    <n v="6.92"/>
    <n v="6279.09"/>
    <n v="4657.16"/>
    <n v="1621.93"/>
  </r>
  <r>
    <x v="3"/>
    <x v="58"/>
    <x v="9"/>
    <x v="1"/>
    <s v="C"/>
    <x v="72"/>
    <n v="585920464"/>
    <d v="2011-07-15T00:00:00"/>
    <n v="5741"/>
    <n v="47.45"/>
    <n v="31.79"/>
    <n v="272410.45"/>
    <n v="182506.39"/>
    <n v="89904.06"/>
  </r>
  <r>
    <x v="3"/>
    <x v="32"/>
    <x v="1"/>
    <x v="1"/>
    <s v="H"/>
    <x v="73"/>
    <n v="555990016"/>
    <d v="2017-06-17T00:00:00"/>
    <n v="8656"/>
    <n v="205.7"/>
    <n v="117.11"/>
    <n v="1780539.2"/>
    <n v="1013704.16"/>
    <n v="766835.04"/>
  </r>
  <r>
    <x v="5"/>
    <x v="59"/>
    <x v="8"/>
    <x v="0"/>
    <s v="L"/>
    <x v="74"/>
    <n v="231145322"/>
    <d v="2013-08-16T00:00:00"/>
    <n v="9892"/>
    <n v="437.2"/>
    <n v="263.33"/>
    <n v="4324782.4000000004"/>
    <n v="2604860.36"/>
    <n v="1719922.04"/>
  </r>
  <r>
    <x v="6"/>
    <x v="60"/>
    <x v="4"/>
    <x v="0"/>
    <s v="C"/>
    <x v="75"/>
    <n v="986435210"/>
    <d v="2014-12-12T00:00:00"/>
    <n v="6954"/>
    <n v="668.27"/>
    <n v="502.54"/>
    <n v="4647149.58"/>
    <n v="3494663.16"/>
    <n v="1152486.42"/>
  </r>
  <r>
    <x v="0"/>
    <x v="61"/>
    <x v="9"/>
    <x v="1"/>
    <s v="C"/>
    <x v="76"/>
    <n v="217221009"/>
    <d v="2014-11-15T00:00:00"/>
    <n v="9379"/>
    <n v="47.45"/>
    <n v="31.79"/>
    <n v="445033.55"/>
    <n v="298158.40999999997"/>
    <n v="146875.14000000001"/>
  </r>
  <r>
    <x v="4"/>
    <x v="62"/>
    <x v="5"/>
    <x v="0"/>
    <s v="C"/>
    <x v="77"/>
    <n v="789176547"/>
    <d v="2011-10-23T00:00:00"/>
    <n v="3732"/>
    <n v="154.06"/>
    <n v="90.93"/>
    <n v="574951.92000000004"/>
    <n v="339350.76"/>
    <n v="235601.16"/>
  </r>
  <r>
    <x v="2"/>
    <x v="63"/>
    <x v="0"/>
    <x v="0"/>
    <s v="H"/>
    <x v="78"/>
    <n v="688288152"/>
    <d v="2012-02-06T00:00:00"/>
    <n v="8614"/>
    <n v="255.28"/>
    <n v="159.41999999999999"/>
    <n v="2198981.92"/>
    <n v="1373243.88"/>
    <n v="825738.04"/>
  </r>
  <r>
    <x v="0"/>
    <x v="64"/>
    <x v="8"/>
    <x v="1"/>
    <s v="H"/>
    <x v="79"/>
    <n v="670854651"/>
    <d v="2013-07-08T00:00:00"/>
    <n v="9654"/>
    <n v="437.2"/>
    <n v="263.33"/>
    <n v="4220728.8"/>
    <n v="2542187.8199999998"/>
    <n v="1678540.98"/>
  </r>
  <r>
    <x v="2"/>
    <x v="65"/>
    <x v="4"/>
    <x v="0"/>
    <s v="L"/>
    <x v="80"/>
    <n v="213487374"/>
    <d v="2012-11-30T00:00:00"/>
    <n v="4513"/>
    <n v="668.27"/>
    <n v="502.54"/>
    <n v="3015902.51"/>
    <n v="2267963.02"/>
    <n v="747939.49"/>
  </r>
  <r>
    <x v="5"/>
    <x v="66"/>
    <x v="7"/>
    <x v="1"/>
    <s v="L"/>
    <x v="81"/>
    <n v="663110148"/>
    <d v="2012-08-10T00:00:00"/>
    <n v="7884"/>
    <n v="109.28"/>
    <n v="35.840000000000003"/>
    <n v="861563.52"/>
    <n v="282562.56"/>
    <n v="579000.96"/>
  </r>
  <r>
    <x v="5"/>
    <x v="67"/>
    <x v="8"/>
    <x v="1"/>
    <s v="H"/>
    <x v="82"/>
    <n v="286959302"/>
    <d v="2016-08-12T00:00:00"/>
    <n v="6489"/>
    <n v="437.2"/>
    <n v="263.33"/>
    <n v="2836990.8"/>
    <n v="1708748.37"/>
    <n v="1128242.43"/>
  </r>
  <r>
    <x v="3"/>
    <x v="68"/>
    <x v="11"/>
    <x v="1"/>
    <s v="L"/>
    <x v="83"/>
    <n v="122583663"/>
    <d v="2011-05-01T00:00:00"/>
    <n v="4085"/>
    <n v="152.58000000000001"/>
    <n v="97.44"/>
    <n v="623289.30000000005"/>
    <n v="398042.4"/>
    <n v="225246.9"/>
  </r>
  <r>
    <x v="3"/>
    <x v="69"/>
    <x v="5"/>
    <x v="1"/>
    <s v="L"/>
    <x v="84"/>
    <n v="827844560"/>
    <d v="2012-07-04T00:00:00"/>
    <n v="6457"/>
    <n v="154.06"/>
    <n v="90.93"/>
    <n v="994765.42"/>
    <n v="587135.01"/>
    <n v="407630.41"/>
  </r>
  <r>
    <x v="6"/>
    <x v="60"/>
    <x v="6"/>
    <x v="0"/>
    <s v="L"/>
    <x v="85"/>
    <n v="430915820"/>
    <d v="2012-03-20T00:00:00"/>
    <n v="6422"/>
    <n v="81.73"/>
    <n v="56.67"/>
    <n v="524870.06000000006"/>
    <n v="363934.74"/>
    <n v="160935.32"/>
  </r>
  <r>
    <x v="3"/>
    <x v="3"/>
    <x v="9"/>
    <x v="0"/>
    <s v="C"/>
    <x v="86"/>
    <n v="180283772"/>
    <d v="2011-01-21T00:00:00"/>
    <n v="8829"/>
    <n v="47.45"/>
    <n v="31.79"/>
    <n v="418936.05"/>
    <n v="280673.90999999997"/>
    <n v="138262.14000000001"/>
  </r>
  <r>
    <x v="3"/>
    <x v="27"/>
    <x v="0"/>
    <x v="0"/>
    <s v="M"/>
    <x v="87"/>
    <n v="494747245"/>
    <d v="2014-03-20T00:00:00"/>
    <n v="5559"/>
    <n v="255.28"/>
    <n v="159.41999999999999"/>
    <n v="1419101.52"/>
    <n v="886215.78"/>
    <n v="532885.74"/>
  </r>
  <r>
    <x v="5"/>
    <x v="70"/>
    <x v="3"/>
    <x v="1"/>
    <s v="M"/>
    <x v="88"/>
    <n v="513417565"/>
    <d v="2012-05-18T00:00:00"/>
    <n v="522"/>
    <n v="9.33"/>
    <n v="6.92"/>
    <n v="4870.26"/>
    <n v="3612.24"/>
    <n v="1258.02"/>
  </r>
  <r>
    <x v="2"/>
    <x v="71"/>
    <x v="9"/>
    <x v="0"/>
    <s v="C"/>
    <x v="89"/>
    <n v="345718562"/>
    <d v="2016-11-25T00:00:00"/>
    <n v="4660"/>
    <n v="47.45"/>
    <n v="31.79"/>
    <n v="221117"/>
    <n v="148141.4"/>
    <n v="72975.600000000006"/>
  </r>
  <r>
    <x v="3"/>
    <x v="46"/>
    <x v="2"/>
    <x v="0"/>
    <s v="H"/>
    <x v="90"/>
    <n v="621386563"/>
    <d v="2016-12-14T00:00:00"/>
    <n v="948"/>
    <n v="651.21"/>
    <n v="524.96"/>
    <n v="617347.07999999996"/>
    <n v="497662.08"/>
    <n v="119685"/>
  </r>
  <r>
    <x v="0"/>
    <x v="30"/>
    <x v="9"/>
    <x v="0"/>
    <s v="H"/>
    <x v="91"/>
    <n v="240470397"/>
    <d v="2014-11-07T00:00:00"/>
    <n v="9389"/>
    <n v="47.45"/>
    <n v="31.79"/>
    <n v="445508.05"/>
    <n v="298476.31"/>
    <n v="147031.74"/>
  </r>
  <r>
    <x v="5"/>
    <x v="37"/>
    <x v="2"/>
    <x v="1"/>
    <s v="M"/>
    <x v="92"/>
    <n v="423331391"/>
    <d v="2012-07-24T00:00:00"/>
    <n v="2021"/>
    <n v="651.21"/>
    <n v="524.96"/>
    <n v="1316095.4099999999"/>
    <n v="1060944.1599999999"/>
    <n v="255151.25"/>
  </r>
  <r>
    <x v="2"/>
    <x v="72"/>
    <x v="8"/>
    <x v="1"/>
    <s v="H"/>
    <x v="93"/>
    <n v="660643374"/>
    <d v="2010-12-25T00:00:00"/>
    <n v="7910"/>
    <n v="437.2"/>
    <n v="263.33"/>
    <n v="3458252"/>
    <n v="2082940.3"/>
    <n v="1375311.7"/>
  </r>
  <r>
    <x v="1"/>
    <x v="73"/>
    <x v="9"/>
    <x v="0"/>
    <s v="C"/>
    <x v="94"/>
    <n v="963392674"/>
    <d v="2011-03-21T00:00:00"/>
    <n v="8156"/>
    <n v="47.45"/>
    <n v="31.79"/>
    <n v="387002.2"/>
    <n v="259279.24"/>
    <n v="127722.96"/>
  </r>
  <r>
    <x v="3"/>
    <x v="26"/>
    <x v="7"/>
    <x v="1"/>
    <s v="M"/>
    <x v="95"/>
    <n v="512878119"/>
    <d v="2011-03-09T00:00:00"/>
    <n v="888"/>
    <n v="109.28"/>
    <n v="35.840000000000003"/>
    <n v="97040.639999999999"/>
    <n v="31825.919999999998"/>
    <n v="65214.720000000001"/>
  </r>
  <r>
    <x v="4"/>
    <x v="74"/>
    <x v="3"/>
    <x v="0"/>
    <s v="L"/>
    <x v="96"/>
    <n v="810711038"/>
    <d v="2011-12-28T00:00:00"/>
    <n v="6267"/>
    <n v="9.33"/>
    <n v="6.92"/>
    <n v="58471.11"/>
    <n v="43367.64"/>
    <n v="15103.47"/>
  </r>
  <r>
    <x v="3"/>
    <x v="46"/>
    <x v="5"/>
    <x v="0"/>
    <s v="C"/>
    <x v="97"/>
    <n v="728815257"/>
    <d v="2016-06-29T00:00:00"/>
    <n v="1485"/>
    <n v="154.06"/>
    <n v="90.93"/>
    <n v="228779.1"/>
    <n v="135031.04999999999"/>
    <n v="93748.05"/>
  </r>
  <r>
    <x v="6"/>
    <x v="60"/>
    <x v="6"/>
    <x v="0"/>
    <s v="M"/>
    <x v="98"/>
    <n v="559427106"/>
    <d v="2015-08-08T00:00:00"/>
    <n v="5767"/>
    <n v="81.73"/>
    <n v="56.67"/>
    <n v="471336.91"/>
    <n v="326815.89"/>
    <n v="144521.01999999999"/>
  </r>
  <r>
    <x v="3"/>
    <x v="75"/>
    <x v="4"/>
    <x v="0"/>
    <s v="L"/>
    <x v="99"/>
    <n v="665095412"/>
    <d v="2012-02-15T00:00:00"/>
    <n v="5367"/>
    <n v="668.27"/>
    <n v="502.54"/>
    <n v="3586605.09"/>
    <n v="2697132.18"/>
    <n v="889472.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34239-BFAD-44E0-84FC-16FF1CC46D3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3:B72" firstHeaderRow="1" firstDataRow="1" firstDataCol="1"/>
  <pivotFields count="16">
    <pivotField showAll="0">
      <items count="8">
        <item x="4"/>
        <item x="0"/>
        <item x="1"/>
        <item x="2"/>
        <item x="5"/>
        <item x="6"/>
        <item x="3"/>
        <item t="default"/>
      </items>
    </pivotField>
    <pivotField showAll="0"/>
    <pivotField showAll="0"/>
    <pivotField showAll="0"/>
    <pivotField showAll="0"/>
    <pivotField numFmtId="16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64"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11">
        <item x="0"/>
        <item x="1"/>
        <item x="2"/>
        <item x="3"/>
        <item x="4"/>
        <item x="5"/>
        <item x="6"/>
        <item x="7"/>
        <item x="8"/>
        <item x="9"/>
        <item t="default"/>
      </items>
    </pivotField>
  </pivotFields>
  <rowFields count="2">
    <field x="15"/>
    <field x="14"/>
  </rowFields>
  <rowItems count="69">
    <i>
      <x v="1"/>
    </i>
    <i r="1">
      <x v="2"/>
    </i>
    <i r="1">
      <x v="5"/>
    </i>
    <i r="1">
      <x v="6"/>
    </i>
    <i r="1">
      <x v="10"/>
    </i>
    <i r="1">
      <x v="11"/>
    </i>
    <i r="1">
      <x v="12"/>
    </i>
    <i>
      <x v="2"/>
    </i>
    <i r="1">
      <x v="1"/>
    </i>
    <i r="1">
      <x v="2"/>
    </i>
    <i r="1">
      <x v="4"/>
    </i>
    <i r="1">
      <x v="5"/>
    </i>
    <i r="1">
      <x v="6"/>
    </i>
    <i r="1">
      <x v="7"/>
    </i>
    <i r="1">
      <x v="9"/>
    </i>
    <i r="1">
      <x v="11"/>
    </i>
    <i>
      <x v="3"/>
    </i>
    <i r="1">
      <x v="1"/>
    </i>
    <i r="1">
      <x v="2"/>
    </i>
    <i r="1">
      <x v="3"/>
    </i>
    <i r="1">
      <x v="4"/>
    </i>
    <i r="1">
      <x v="5"/>
    </i>
    <i r="1">
      <x v="6"/>
    </i>
    <i r="1">
      <x v="7"/>
    </i>
    <i r="1">
      <x v="8"/>
    </i>
    <i r="1">
      <x v="9"/>
    </i>
    <i r="1">
      <x v="10"/>
    </i>
    <i>
      <x v="4"/>
    </i>
    <i r="1">
      <x v="2"/>
    </i>
    <i r="1">
      <x v="3"/>
    </i>
    <i r="1">
      <x v="4"/>
    </i>
    <i r="1">
      <x v="6"/>
    </i>
    <i r="1">
      <x v="7"/>
    </i>
    <i r="1">
      <x v="8"/>
    </i>
    <i r="1">
      <x v="9"/>
    </i>
    <i r="1">
      <x v="10"/>
    </i>
    <i r="1">
      <x v="12"/>
    </i>
    <i>
      <x v="5"/>
    </i>
    <i r="1">
      <x v="2"/>
    </i>
    <i r="1">
      <x v="4"/>
    </i>
    <i r="1">
      <x v="5"/>
    </i>
    <i r="1">
      <x v="6"/>
    </i>
    <i r="1">
      <x v="7"/>
    </i>
    <i r="1">
      <x v="8"/>
    </i>
    <i r="1">
      <x v="9"/>
    </i>
    <i r="1">
      <x v="10"/>
    </i>
    <i r="1">
      <x v="11"/>
    </i>
    <i>
      <x v="6"/>
    </i>
    <i r="1">
      <x v="1"/>
    </i>
    <i r="1">
      <x v="2"/>
    </i>
    <i r="1">
      <x v="4"/>
    </i>
    <i r="1">
      <x v="7"/>
    </i>
    <i r="1">
      <x v="8"/>
    </i>
    <i r="1">
      <x v="10"/>
    </i>
    <i r="1">
      <x v="11"/>
    </i>
    <i>
      <x v="7"/>
    </i>
    <i r="1">
      <x v="3"/>
    </i>
    <i r="1">
      <x v="5"/>
    </i>
    <i r="1">
      <x v="6"/>
    </i>
    <i r="1">
      <x v="7"/>
    </i>
    <i r="1">
      <x v="10"/>
    </i>
    <i r="1">
      <x v="11"/>
    </i>
    <i r="1">
      <x v="12"/>
    </i>
    <i>
      <x v="8"/>
    </i>
    <i r="1">
      <x v="1"/>
    </i>
    <i r="1">
      <x v="2"/>
    </i>
    <i r="1">
      <x v="3"/>
    </i>
    <i r="1">
      <x v="5"/>
    </i>
    <i t="grand">
      <x/>
    </i>
  </rowItems>
  <colItems count="1">
    <i/>
  </colItems>
  <dataFields count="1">
    <dataField name="Sum of Total Revenue" fld="11" baseField="0" baseItem="0"/>
  </dataFields>
  <formats count="1">
    <format dxfId="5">
      <pivotArea outline="0" collapsedLevelsAreSubtotals="1" fieldPosition="0"/>
    </format>
  </formats>
  <chartFormats count="39">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5" count="1" selected="0">
            <x v="7"/>
          </reference>
        </references>
      </pivotArea>
    </chartFormat>
    <chartFormat chart="7" format="3">
      <pivotArea type="data" outline="0" fieldPosition="0">
        <references count="2">
          <reference field="4294967294" count="1" selected="0">
            <x v="0"/>
          </reference>
          <reference field="15" count="1" selected="0">
            <x v="4"/>
          </reference>
        </references>
      </pivotArea>
    </chartFormat>
    <chartFormat chart="7" format="4">
      <pivotArea type="data" outline="0" fieldPosition="0">
        <references count="2">
          <reference field="4294967294" count="1" selected="0">
            <x v="0"/>
          </reference>
          <reference field="15" count="1" selected="0">
            <x v="3"/>
          </reference>
        </references>
      </pivotArea>
    </chartFormat>
    <chartFormat chart="7" format="5">
      <pivotArea type="data" outline="0" fieldPosition="0">
        <references count="3">
          <reference field="4294967294" count="1" selected="0">
            <x v="0"/>
          </reference>
          <reference field="14" count="1" selected="0">
            <x v="1"/>
          </reference>
          <reference field="15" count="1" selected="0">
            <x v="3"/>
          </reference>
        </references>
      </pivotArea>
    </chartFormat>
    <chartFormat chart="7" format="6">
      <pivotArea type="data" outline="0" fieldPosition="0">
        <references count="3">
          <reference field="4294967294" count="1" selected="0">
            <x v="0"/>
          </reference>
          <reference field="14" count="1" selected="0">
            <x v="2"/>
          </reference>
          <reference field="15" count="1" selected="0">
            <x v="3"/>
          </reference>
        </references>
      </pivotArea>
    </chartFormat>
    <chartFormat chart="7" format="7">
      <pivotArea type="data" outline="0" fieldPosition="0">
        <references count="3">
          <reference field="4294967294" count="1" selected="0">
            <x v="0"/>
          </reference>
          <reference field="14" count="1" selected="0">
            <x v="3"/>
          </reference>
          <reference field="15" count="1" selected="0">
            <x v="3"/>
          </reference>
        </references>
      </pivotArea>
    </chartFormat>
    <chartFormat chart="7" format="8">
      <pivotArea type="data" outline="0" fieldPosition="0">
        <references count="3">
          <reference field="4294967294" count="1" selected="0">
            <x v="0"/>
          </reference>
          <reference field="14" count="1" selected="0">
            <x v="4"/>
          </reference>
          <reference field="15" count="1" selected="0">
            <x v="3"/>
          </reference>
        </references>
      </pivotArea>
    </chartFormat>
    <chartFormat chart="7" format="9">
      <pivotArea type="data" outline="0" fieldPosition="0">
        <references count="3">
          <reference field="4294967294" count="1" selected="0">
            <x v="0"/>
          </reference>
          <reference field="14" count="1" selected="0">
            <x v="5"/>
          </reference>
          <reference field="15" count="1" selected="0">
            <x v="3"/>
          </reference>
        </references>
      </pivotArea>
    </chartFormat>
    <chartFormat chart="7" format="10">
      <pivotArea type="data" outline="0" fieldPosition="0">
        <references count="3">
          <reference field="4294967294" count="1" selected="0">
            <x v="0"/>
          </reference>
          <reference field="14" count="1" selected="0">
            <x v="6"/>
          </reference>
          <reference field="15" count="1" selected="0">
            <x v="3"/>
          </reference>
        </references>
      </pivotArea>
    </chartFormat>
    <chartFormat chart="7" format="11">
      <pivotArea type="data" outline="0" fieldPosition="0">
        <references count="3">
          <reference field="4294967294" count="1" selected="0">
            <x v="0"/>
          </reference>
          <reference field="14" count="1" selected="0">
            <x v="7"/>
          </reference>
          <reference field="15" count="1" selected="0">
            <x v="3"/>
          </reference>
        </references>
      </pivotArea>
    </chartFormat>
    <chartFormat chart="7" format="12">
      <pivotArea type="data" outline="0" fieldPosition="0">
        <references count="3">
          <reference field="4294967294" count="1" selected="0">
            <x v="0"/>
          </reference>
          <reference field="14" count="1" selected="0">
            <x v="8"/>
          </reference>
          <reference field="15" count="1" selected="0">
            <x v="3"/>
          </reference>
        </references>
      </pivotArea>
    </chartFormat>
    <chartFormat chart="7" format="13">
      <pivotArea type="data" outline="0" fieldPosition="0">
        <references count="3">
          <reference field="4294967294" count="1" selected="0">
            <x v="0"/>
          </reference>
          <reference field="14" count="1" selected="0">
            <x v="9"/>
          </reference>
          <reference field="15" count="1" selected="0">
            <x v="3"/>
          </reference>
        </references>
      </pivotArea>
    </chartFormat>
    <chartFormat chart="7" format="14">
      <pivotArea type="data" outline="0" fieldPosition="0">
        <references count="3">
          <reference field="4294967294" count="1" selected="0">
            <x v="0"/>
          </reference>
          <reference field="14" count="1" selected="0">
            <x v="10"/>
          </reference>
          <reference field="15" count="1" selected="0">
            <x v="3"/>
          </reference>
        </references>
      </pivotArea>
    </chartFormat>
    <chartFormat chart="7" format="15">
      <pivotArea type="data" outline="0" fieldPosition="0">
        <references count="3">
          <reference field="4294967294" count="1" selected="0">
            <x v="0"/>
          </reference>
          <reference field="14" count="1" selected="0">
            <x v="2"/>
          </reference>
          <reference field="15" count="1" selected="0">
            <x v="4"/>
          </reference>
        </references>
      </pivotArea>
    </chartFormat>
    <chartFormat chart="7" format="16">
      <pivotArea type="data" outline="0" fieldPosition="0">
        <references count="3">
          <reference field="4294967294" count="1" selected="0">
            <x v="0"/>
          </reference>
          <reference field="14" count="1" selected="0">
            <x v="3"/>
          </reference>
          <reference field="15" count="1" selected="0">
            <x v="4"/>
          </reference>
        </references>
      </pivotArea>
    </chartFormat>
    <chartFormat chart="7" format="17">
      <pivotArea type="data" outline="0" fieldPosition="0">
        <references count="3">
          <reference field="4294967294" count="1" selected="0">
            <x v="0"/>
          </reference>
          <reference field="14" count="1" selected="0">
            <x v="4"/>
          </reference>
          <reference field="15" count="1" selected="0">
            <x v="4"/>
          </reference>
        </references>
      </pivotArea>
    </chartFormat>
    <chartFormat chart="7" format="18">
      <pivotArea type="data" outline="0" fieldPosition="0">
        <references count="3">
          <reference field="4294967294" count="1" selected="0">
            <x v="0"/>
          </reference>
          <reference field="14" count="1" selected="0">
            <x v="6"/>
          </reference>
          <reference field="15" count="1" selected="0">
            <x v="4"/>
          </reference>
        </references>
      </pivotArea>
    </chartFormat>
    <chartFormat chart="7" format="19">
      <pivotArea type="data" outline="0" fieldPosition="0">
        <references count="3">
          <reference field="4294967294" count="1" selected="0">
            <x v="0"/>
          </reference>
          <reference field="14" count="1" selected="0">
            <x v="7"/>
          </reference>
          <reference field="15" count="1" selected="0">
            <x v="4"/>
          </reference>
        </references>
      </pivotArea>
    </chartFormat>
    <chartFormat chart="7" format="20">
      <pivotArea type="data" outline="0" fieldPosition="0">
        <references count="3">
          <reference field="4294967294" count="1" selected="0">
            <x v="0"/>
          </reference>
          <reference field="14" count="1" selected="0">
            <x v="8"/>
          </reference>
          <reference field="15" count="1" selected="0">
            <x v="4"/>
          </reference>
        </references>
      </pivotArea>
    </chartFormat>
    <chartFormat chart="7" format="21">
      <pivotArea type="data" outline="0" fieldPosition="0">
        <references count="3">
          <reference field="4294967294" count="1" selected="0">
            <x v="0"/>
          </reference>
          <reference field="14" count="1" selected="0">
            <x v="9"/>
          </reference>
          <reference field="15" count="1" selected="0">
            <x v="4"/>
          </reference>
        </references>
      </pivotArea>
    </chartFormat>
    <chartFormat chart="7" format="22">
      <pivotArea type="data" outline="0" fieldPosition="0">
        <references count="3">
          <reference field="4294967294" count="1" selected="0">
            <x v="0"/>
          </reference>
          <reference field="14" count="1" selected="0">
            <x v="10"/>
          </reference>
          <reference field="15" count="1" selected="0">
            <x v="4"/>
          </reference>
        </references>
      </pivotArea>
    </chartFormat>
    <chartFormat chart="7" format="23">
      <pivotArea type="data" outline="0" fieldPosition="0">
        <references count="3">
          <reference field="4294967294" count="1" selected="0">
            <x v="0"/>
          </reference>
          <reference field="14" count="1" selected="0">
            <x v="12"/>
          </reference>
          <reference field="15" count="1" selected="0">
            <x v="4"/>
          </reference>
        </references>
      </pivotArea>
    </chartFormat>
    <chartFormat chart="7" format="24">
      <pivotArea type="data" outline="0" fieldPosition="0">
        <references count="3">
          <reference field="4294967294" count="1" selected="0">
            <x v="0"/>
          </reference>
          <reference field="14" count="1" selected="0">
            <x v="3"/>
          </reference>
          <reference field="15" count="1" selected="0">
            <x v="7"/>
          </reference>
        </references>
      </pivotArea>
    </chartFormat>
    <chartFormat chart="7" format="25">
      <pivotArea type="data" outline="0" fieldPosition="0">
        <references count="3">
          <reference field="4294967294" count="1" selected="0">
            <x v="0"/>
          </reference>
          <reference field="14" count="1" selected="0">
            <x v="5"/>
          </reference>
          <reference field="15" count="1" selected="0">
            <x v="7"/>
          </reference>
        </references>
      </pivotArea>
    </chartFormat>
    <chartFormat chart="7" format="26">
      <pivotArea type="data" outline="0" fieldPosition="0">
        <references count="3">
          <reference field="4294967294" count="1" selected="0">
            <x v="0"/>
          </reference>
          <reference field="14" count="1" selected="0">
            <x v="6"/>
          </reference>
          <reference field="15" count="1" selected="0">
            <x v="7"/>
          </reference>
        </references>
      </pivotArea>
    </chartFormat>
    <chartFormat chart="7" format="27">
      <pivotArea type="data" outline="0" fieldPosition="0">
        <references count="3">
          <reference field="4294967294" count="1" selected="0">
            <x v="0"/>
          </reference>
          <reference field="14" count="1" selected="0">
            <x v="7"/>
          </reference>
          <reference field="15" count="1" selected="0">
            <x v="7"/>
          </reference>
        </references>
      </pivotArea>
    </chartFormat>
    <chartFormat chart="7" format="28">
      <pivotArea type="data" outline="0" fieldPosition="0">
        <references count="3">
          <reference field="4294967294" count="1" selected="0">
            <x v="0"/>
          </reference>
          <reference field="14" count="1" selected="0">
            <x v="10"/>
          </reference>
          <reference field="15" count="1" selected="0">
            <x v="7"/>
          </reference>
        </references>
      </pivotArea>
    </chartFormat>
    <chartFormat chart="7" format="29">
      <pivotArea type="data" outline="0" fieldPosition="0">
        <references count="3">
          <reference field="4294967294" count="1" selected="0">
            <x v="0"/>
          </reference>
          <reference field="14" count="1" selected="0">
            <x v="11"/>
          </reference>
          <reference field="15" count="1" selected="0">
            <x v="7"/>
          </reference>
        </references>
      </pivotArea>
    </chartFormat>
    <chartFormat chart="7" format="30">
      <pivotArea type="data" outline="0" fieldPosition="0">
        <references count="3">
          <reference field="4294967294" count="1" selected="0">
            <x v="0"/>
          </reference>
          <reference field="14" count="1" selected="0">
            <x v="12"/>
          </reference>
          <reference field="15" count="1" selected="0">
            <x v="7"/>
          </reference>
        </references>
      </pivotArea>
    </chartFormat>
    <chartFormat chart="12" format="32" series="1">
      <pivotArea type="data" outline="0" fieldPosition="0">
        <references count="1">
          <reference field="4294967294" count="1" selected="0">
            <x v="0"/>
          </reference>
        </references>
      </pivotArea>
    </chartFormat>
    <chartFormat chart="13" format="33" series="1">
      <pivotArea type="data" outline="0" fieldPosition="0">
        <references count="1">
          <reference field="4294967294" count="1" selected="0">
            <x v="0"/>
          </reference>
        </references>
      </pivotArea>
    </chartFormat>
    <chartFormat chart="14" format="33" series="1">
      <pivotArea type="data" outline="0" fieldPosition="0">
        <references count="1">
          <reference field="4294967294" count="1" selected="0">
            <x v="0"/>
          </reference>
        </references>
      </pivotArea>
    </chartFormat>
    <chartFormat chart="15" format="32" series="1">
      <pivotArea type="data" outline="0" fieldPosition="0">
        <references count="1">
          <reference field="4294967294" count="1" selected="0">
            <x v="0"/>
          </reference>
        </references>
      </pivotArea>
    </chartFormat>
    <chartFormat chart="16" format="33" series="1">
      <pivotArea type="data" outline="0" fieldPosition="0">
        <references count="1">
          <reference field="4294967294" count="1" selected="0">
            <x v="0"/>
          </reference>
        </references>
      </pivotArea>
    </chartFormat>
    <chartFormat chart="7" format="31">
      <pivotArea type="data" outline="0" fieldPosition="0">
        <references count="3">
          <reference field="4294967294" count="1" selected="0">
            <x v="0"/>
          </reference>
          <reference field="14" count="1" selected="0">
            <x v="5"/>
          </reference>
          <reference field="15" count="1" selected="0">
            <x v="1"/>
          </reference>
        </references>
      </pivotArea>
    </chartFormat>
    <chartFormat chart="7" format="32">
      <pivotArea type="data" outline="0" fieldPosition="0">
        <references count="3">
          <reference field="4294967294" count="1" selected="0">
            <x v="0"/>
          </reference>
          <reference field="14" count="1" selected="0">
            <x v="6"/>
          </reference>
          <reference field="15" count="1" selected="0">
            <x v="1"/>
          </reference>
        </references>
      </pivotArea>
    </chartFormat>
    <chartFormat chart="7" format="33">
      <pivotArea type="data" outline="0" fieldPosition="0">
        <references count="3">
          <reference field="4294967294" count="1" selected="0">
            <x v="0"/>
          </reference>
          <reference field="14" count="1" selected="0">
            <x v="10"/>
          </reference>
          <reference field="15" count="1" selected="0">
            <x v="1"/>
          </reference>
        </references>
      </pivotArea>
    </chartFormat>
    <chartFormat chart="7" format="34">
      <pivotArea type="data" outline="0" fieldPosition="0">
        <references count="3">
          <reference field="4294967294" count="1" selected="0">
            <x v="0"/>
          </reference>
          <reference field="14" count="1" selected="0">
            <x v="1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F97E4-18E1-4638-8484-90FC9B227F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6">
    <pivotField showAll="0"/>
    <pivotField showAll="0"/>
    <pivotField showAll="0"/>
    <pivotField axis="axisRow" showAll="0">
      <items count="3">
        <item x="0"/>
        <item x="1"/>
        <item t="default"/>
      </items>
    </pivotField>
    <pivotField showAll="0"/>
    <pivotField numFmtId="16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64" showAll="0"/>
    <pivotField dataField="1" showAll="0"/>
    <pivotField showAll="0"/>
    <pivotField showAll="0"/>
    <pivotField showAll="0"/>
    <pivotField showAll="0"/>
    <pivotField showAll="0"/>
    <pivotField showAll="0" defaultSubtotal="0"/>
    <pivotField showAll="0" defaultSubtotal="0">
      <items count="10">
        <item x="0"/>
        <item x="1"/>
        <item x="2"/>
        <item x="3"/>
        <item x="4"/>
        <item x="5"/>
        <item x="6"/>
        <item x="7"/>
        <item x="8"/>
        <item x="9"/>
      </items>
    </pivotField>
  </pivotFields>
  <rowFields count="1">
    <field x="3"/>
  </rowFields>
  <rowItems count="3">
    <i>
      <x/>
    </i>
    <i>
      <x v="1"/>
    </i>
    <i t="grand">
      <x/>
    </i>
  </rowItems>
  <colItems count="1">
    <i/>
  </colItems>
  <dataFields count="1">
    <dataField name="Sum of Units Sold" fld="8"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3D418-5847-43D8-B766-903A21843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16" firstHeaderRow="0" firstDataRow="1" firstDataCol="1"/>
  <pivotFields count="16">
    <pivotField showAll="0"/>
    <pivotField showAll="0"/>
    <pivotField axis="axisRow" showAll="0">
      <items count="13">
        <item x="0"/>
        <item x="9"/>
        <item x="1"/>
        <item x="7"/>
        <item x="8"/>
        <item x="3"/>
        <item x="4"/>
        <item x="10"/>
        <item x="2"/>
        <item x="6"/>
        <item x="11"/>
        <item x="5"/>
        <item t="default"/>
      </items>
    </pivotField>
    <pivotField showAll="0"/>
    <pivotField showAll="0"/>
    <pivotField numFmtId="16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64" showAll="0"/>
    <pivotField dataField="1" showAll="0"/>
    <pivotField showAll="0"/>
    <pivotField showAll="0"/>
    <pivotField dataField="1" showAll="0"/>
    <pivotField showAll="0"/>
    <pivotField dataField="1" showAll="0"/>
    <pivotField showAll="0" defaultSubtotal="0"/>
    <pivotField showAll="0" defaultSubtotal="0">
      <items count="10">
        <item x="0"/>
        <item x="1"/>
        <item x="2"/>
        <item x="3"/>
        <item x="4"/>
        <item x="5"/>
        <item x="6"/>
        <item x="7"/>
        <item x="8"/>
        <item x="9"/>
      </items>
    </pivotField>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Units Sold" fld="8" baseField="2" baseItem="0"/>
    <dataField name="Average of Total Revenue" fld="11" subtotal="average" baseField="2" baseItem="0"/>
    <dataField name="Average of Total Profit" fld="13" subtotal="average" baseField="2" baseItem="0"/>
  </dataFields>
  <formats count="2">
    <format dxfId="4">
      <pivotArea collapsedLevelsAreSubtotals="1" fieldPosition="0">
        <references count="2">
          <reference field="4294967294" count="1" selected="0">
            <x v="0"/>
          </reference>
          <reference field="2" count="0"/>
        </references>
      </pivotArea>
    </format>
    <format dxfId="3">
      <pivotArea collapsedLevelsAreSubtotals="1" fieldPosition="0">
        <references count="2">
          <reference field="4294967294" count="2" selected="0">
            <x v="1"/>
            <x v="2"/>
          </reference>
          <reference field="2" count="0"/>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177D2-2FF2-4EB7-8214-DB62305D55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11" firstHeaderRow="0" firstDataRow="1" firstDataCol="1"/>
  <pivotFields count="16">
    <pivotField axis="axisRow" showAll="0" sortType="descending">
      <items count="8">
        <item x="4"/>
        <item x="0"/>
        <item x="1"/>
        <item x="2"/>
        <item x="5"/>
        <item x="6"/>
        <item x="3"/>
        <item t="default"/>
      </items>
      <autoSortScope>
        <pivotArea dataOnly="0" outline="0" fieldPosition="0">
          <references count="1">
            <reference field="4294967294" count="1" selected="0">
              <x v="1"/>
            </reference>
          </references>
        </pivotArea>
      </autoSortScope>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numFmtId="16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64" showAll="0"/>
    <pivotField showAll="0"/>
    <pivotField showAll="0"/>
    <pivotField showAll="0"/>
    <pivotField dataField="1" showAll="0"/>
    <pivotField dataField="1" showAll="0"/>
    <pivotField dataField="1" showAll="0"/>
    <pivotField showAll="0" defaultSubtotal="0"/>
    <pivotField showAll="0" defaultSubtotal="0">
      <items count="10">
        <item x="0"/>
        <item x="1"/>
        <item x="2"/>
        <item x="3"/>
        <item x="4"/>
        <item x="5"/>
        <item x="6"/>
        <item x="7"/>
        <item x="8"/>
        <item x="9"/>
      </items>
    </pivotField>
  </pivotFields>
  <rowFields count="1">
    <field x="0"/>
  </rowFields>
  <rowItems count="8">
    <i>
      <x v="6"/>
    </i>
    <i>
      <x v="3"/>
    </i>
    <i>
      <x/>
    </i>
    <i>
      <x v="1"/>
    </i>
    <i>
      <x v="4"/>
    </i>
    <i>
      <x v="2"/>
    </i>
    <i>
      <x v="5"/>
    </i>
    <i t="grand">
      <x/>
    </i>
  </rowItems>
  <colFields count="1">
    <field x="-2"/>
  </colFields>
  <colItems count="3">
    <i>
      <x/>
    </i>
    <i i="1">
      <x v="1"/>
    </i>
    <i i="2">
      <x v="2"/>
    </i>
  </colItems>
  <dataFields count="3">
    <dataField name="Sum of Total Revenue" fld="11" baseField="0" baseItem="0" numFmtId="165"/>
    <dataField name="Sum of Total Cost" fld="12" baseField="0" baseItem="0" numFmtId="165"/>
    <dataField name="Sum of Total Profit" fld="13" baseField="0" baseItem="0" numFmtId="165"/>
  </dataFields>
  <formats count="3">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C8E7E96C-CD83-4CD4-BE87-FBDC2974EA65}" sourceName="Column1">
  <pivotTables>
    <pivotTable tabId="2" name="PivotTable1"/>
  </pivotTables>
  <data>
    <tabular pivotCacheId="1052413309">
      <items count="7">
        <i x="4" s="1"/>
        <i x="0" s="1"/>
        <i x="1" s="1"/>
        <i x="2"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951DF15-A1F3-480C-A4C1-BF3C88E9C887}" sourceName="Sales Channel">
  <pivotTables>
    <pivotTable tabId="3" name="PivotTable2"/>
  </pivotTables>
  <data>
    <tabular pivotCacheId="10524133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06F9B9E-1D42-46A2-9CFB-3665F8878980}" sourceName="Item Type">
  <pivotTables>
    <pivotTable tabId="6" name="PivotTable1"/>
  </pivotTables>
  <data>
    <tabular pivotCacheId="1052413309">
      <items count="12">
        <i x="0" s="1"/>
        <i x="9" s="1"/>
        <i x="1" s="1"/>
        <i x="7" s="1"/>
        <i x="8" s="1"/>
        <i x="3" s="1"/>
        <i x="4" s="1"/>
        <i x="10" s="1"/>
        <i x="2" s="1"/>
        <i x="6" s="1"/>
        <i x="1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4F96279-7BC5-436A-A709-44999B1AF20F}" sourceName="Country">
  <pivotTables>
    <pivotTable tabId="5" name="PivotTable3"/>
  </pivotTables>
  <data>
    <tabular pivotCacheId="1052413309">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6BFED464-C5E1-4D85-9637-E1C84D0866C7}" cache="Slicer_Column1" caption="Region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97D7BB29-123C-4EEE-A909-F95F82226CE2}" cache="Slicer_Sales_Channel" caption="Sales Channel"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C11A61AD-AF72-460F-93FF-DC6D8825976E}" cache="Slicer_Item_Type" caption="Item Ty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592EC79-63CF-4EA7-8371-FA0686788C3B}" cache="Slicer_Country" caption="Countr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1" xr10:uid="{DFEBC504-9B2B-42D8-8723-6E1DA649EBA0}" cache="Slicer_Column1" caption="Regions" rowHeight="241300"/>
  <slicer name="Sales Channel 1" xr10:uid="{7726C617-10B6-43F7-AC7E-E4DA4A624079}" cache="Slicer_Sales_Channel" caption="Sales Channel" rowHeight="241300"/>
  <slicer name="Item Type 1" xr10:uid="{CA3BA202-2A23-48AA-9CA6-E53E3127C2E5}" cache="Slicer_Item_Type" caption="Item Type" rowHeight="241300"/>
  <slicer name="Country 1" xr10:uid="{5B5EDDD3-9623-4A85-A116-2FEDC5A0F135}" cache="Slicer_Country" caption="Country" startItem="4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457141-4E70-4505-8813-75F40941AF26}" sourceName="Order Date">
  <pivotTables>
    <pivotTable tabId="2" name="PivotTable1"/>
  </pivotTables>
  <state minimalRefreshVersion="6" lastRefreshVersion="6" pivotCacheId="1052413309"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50A4475-E43B-4FB3-98FA-4126054D009D}" cache="NativeTimeline_Order_Date" caption="Order Date" level="2" selectionLevel="2" scrollPosition="201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776C23B-E647-4830-AEDD-1D894C58B447}" cache="NativeTimeline_Order_Date" caption="Order Date" level="2" selectionLevel="2" scrollPosition="2016-1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1A72C-1505-4EDD-9AE5-EDDBC57284CE}">
  <dimension ref="A3:B72"/>
  <sheetViews>
    <sheetView topLeftCell="A3" workbookViewId="0">
      <selection activeCell="E33" sqref="E33"/>
    </sheetView>
  </sheetViews>
  <sheetFormatPr defaultRowHeight="14.25" x14ac:dyDescent="0.45"/>
  <cols>
    <col min="1" max="1" width="12.06640625" bestFit="1" customWidth="1"/>
    <col min="2" max="2" width="18.73046875" bestFit="1" customWidth="1"/>
  </cols>
  <sheetData>
    <row r="3" spans="1:2" x14ac:dyDescent="0.45">
      <c r="A3" s="2" t="s">
        <v>114</v>
      </c>
      <c r="B3" t="s">
        <v>127</v>
      </c>
    </row>
    <row r="4" spans="1:2" x14ac:dyDescent="0.45">
      <c r="A4" s="3" t="s">
        <v>134</v>
      </c>
      <c r="B4" s="5">
        <v>19186024.919999998</v>
      </c>
    </row>
    <row r="5" spans="1:2" x14ac:dyDescent="0.45">
      <c r="A5" s="4" t="s">
        <v>121</v>
      </c>
      <c r="B5" s="5">
        <v>3410661.1199999996</v>
      </c>
    </row>
    <row r="6" spans="1:2" x14ac:dyDescent="0.45">
      <c r="A6" s="4" t="s">
        <v>122</v>
      </c>
      <c r="B6" s="5">
        <v>2587973.2599999998</v>
      </c>
    </row>
    <row r="7" spans="1:2" x14ac:dyDescent="0.45">
      <c r="A7" s="4" t="s">
        <v>123</v>
      </c>
      <c r="B7" s="5">
        <v>1082418.3999999999</v>
      </c>
    </row>
    <row r="8" spans="1:2" x14ac:dyDescent="0.45">
      <c r="A8" s="4" t="s">
        <v>124</v>
      </c>
      <c r="B8" s="5">
        <v>6064933.75</v>
      </c>
    </row>
    <row r="9" spans="1:2" x14ac:dyDescent="0.45">
      <c r="A9" s="4" t="s">
        <v>135</v>
      </c>
      <c r="B9" s="5">
        <v>3458252</v>
      </c>
    </row>
    <row r="10" spans="1:2" x14ac:dyDescent="0.45">
      <c r="A10" s="4" t="s">
        <v>136</v>
      </c>
      <c r="B10" s="5">
        <v>2581786.39</v>
      </c>
    </row>
    <row r="11" spans="1:2" x14ac:dyDescent="0.45">
      <c r="A11" s="3" t="s">
        <v>116</v>
      </c>
      <c r="B11" s="5">
        <v>11129166.07</v>
      </c>
    </row>
    <row r="12" spans="1:2" x14ac:dyDescent="0.45">
      <c r="A12" s="4" t="s">
        <v>137</v>
      </c>
      <c r="B12" s="5">
        <v>1042225.3500000001</v>
      </c>
    </row>
    <row r="13" spans="1:2" x14ac:dyDescent="0.45">
      <c r="A13" s="4" t="s">
        <v>121</v>
      </c>
      <c r="B13" s="5">
        <v>387002.2</v>
      </c>
    </row>
    <row r="14" spans="1:2" x14ac:dyDescent="0.45">
      <c r="A14" s="4" t="s">
        <v>138</v>
      </c>
      <c r="B14" s="5">
        <v>2798046.49</v>
      </c>
    </row>
    <row r="15" spans="1:2" x14ac:dyDescent="0.45">
      <c r="A15" s="4" t="s">
        <v>122</v>
      </c>
      <c r="B15" s="5">
        <v>272410.45</v>
      </c>
    </row>
    <row r="16" spans="1:2" x14ac:dyDescent="0.45">
      <c r="A16" s="4" t="s">
        <v>123</v>
      </c>
      <c r="B16" s="5">
        <v>19103.439999999999</v>
      </c>
    </row>
    <row r="17" spans="1:2" x14ac:dyDescent="0.45">
      <c r="A17" s="4" t="s">
        <v>125</v>
      </c>
      <c r="B17" s="5">
        <v>97040.639999999999</v>
      </c>
    </row>
    <row r="18" spans="1:2" x14ac:dyDescent="0.45">
      <c r="A18" s="4" t="s">
        <v>139</v>
      </c>
      <c r="B18" s="5">
        <v>574951.92000000004</v>
      </c>
    </row>
    <row r="19" spans="1:2" x14ac:dyDescent="0.45">
      <c r="A19" s="4" t="s">
        <v>135</v>
      </c>
      <c r="B19" s="5">
        <v>5938385.580000001</v>
      </c>
    </row>
    <row r="20" spans="1:2" x14ac:dyDescent="0.45">
      <c r="A20" s="3" t="s">
        <v>117</v>
      </c>
      <c r="B20" s="5">
        <v>31898644.52</v>
      </c>
    </row>
    <row r="21" spans="1:2" x14ac:dyDescent="0.45">
      <c r="A21" s="4" t="s">
        <v>137</v>
      </c>
      <c r="B21" s="5">
        <v>1012884</v>
      </c>
    </row>
    <row r="22" spans="1:2" x14ac:dyDescent="0.45">
      <c r="A22" s="4" t="s">
        <v>121</v>
      </c>
      <c r="B22" s="5">
        <v>6707849.4199999999</v>
      </c>
    </row>
    <row r="23" spans="1:2" x14ac:dyDescent="0.45">
      <c r="A23" s="4" t="s">
        <v>140</v>
      </c>
      <c r="B23" s="5">
        <v>994765.42</v>
      </c>
    </row>
    <row r="24" spans="1:2" x14ac:dyDescent="0.45">
      <c r="A24" s="4" t="s">
        <v>138</v>
      </c>
      <c r="B24" s="5">
        <v>4556012.38</v>
      </c>
    </row>
    <row r="25" spans="1:2" x14ac:dyDescent="0.45">
      <c r="A25" s="4" t="s">
        <v>122</v>
      </c>
      <c r="B25" s="5">
        <v>3782781.82</v>
      </c>
    </row>
    <row r="26" spans="1:2" x14ac:dyDescent="0.45">
      <c r="A26" s="4" t="s">
        <v>123</v>
      </c>
      <c r="B26" s="5">
        <v>2132075.27</v>
      </c>
    </row>
    <row r="27" spans="1:2" x14ac:dyDescent="0.45">
      <c r="A27" s="4" t="s">
        <v>125</v>
      </c>
      <c r="B27" s="5">
        <v>4445093.92</v>
      </c>
    </row>
    <row r="28" spans="1:2" x14ac:dyDescent="0.45">
      <c r="A28" s="4" t="s">
        <v>126</v>
      </c>
      <c r="B28" s="5">
        <v>576782.80000000005</v>
      </c>
    </row>
    <row r="29" spans="1:2" x14ac:dyDescent="0.45">
      <c r="A29" s="4" t="s">
        <v>139</v>
      </c>
      <c r="B29" s="5">
        <v>4648152.7200000007</v>
      </c>
    </row>
    <row r="30" spans="1:2" x14ac:dyDescent="0.45">
      <c r="A30" s="4" t="s">
        <v>124</v>
      </c>
      <c r="B30" s="5">
        <v>3042246.7699999996</v>
      </c>
    </row>
    <row r="31" spans="1:2" x14ac:dyDescent="0.45">
      <c r="A31" s="3" t="s">
        <v>118</v>
      </c>
      <c r="B31" s="5">
        <v>20330448.66</v>
      </c>
    </row>
    <row r="32" spans="1:2" x14ac:dyDescent="0.45">
      <c r="A32" s="4" t="s">
        <v>121</v>
      </c>
      <c r="B32" s="5">
        <v>3296425.02</v>
      </c>
    </row>
    <row r="33" spans="1:2" x14ac:dyDescent="0.45">
      <c r="A33" s="4" t="s">
        <v>140</v>
      </c>
      <c r="B33" s="5">
        <v>835759.1</v>
      </c>
    </row>
    <row r="34" spans="1:2" x14ac:dyDescent="0.45">
      <c r="A34" s="4" t="s">
        <v>138</v>
      </c>
      <c r="B34" s="5">
        <v>3262562.1</v>
      </c>
    </row>
    <row r="35" spans="1:2" x14ac:dyDescent="0.45">
      <c r="A35" s="4" t="s">
        <v>123</v>
      </c>
      <c r="B35" s="5">
        <v>1352867.4</v>
      </c>
    </row>
    <row r="36" spans="1:2" x14ac:dyDescent="0.45">
      <c r="A36" s="4" t="s">
        <v>125</v>
      </c>
      <c r="B36" s="5">
        <v>8545511.1999999993</v>
      </c>
    </row>
    <row r="37" spans="1:2" x14ac:dyDescent="0.45">
      <c r="A37" s="4" t="s">
        <v>126</v>
      </c>
      <c r="B37" s="5">
        <v>89623.98</v>
      </c>
    </row>
    <row r="38" spans="1:2" x14ac:dyDescent="0.45">
      <c r="A38" s="4" t="s">
        <v>139</v>
      </c>
      <c r="B38" s="5">
        <v>71253.210000000006</v>
      </c>
    </row>
    <row r="39" spans="1:2" x14ac:dyDescent="0.45">
      <c r="A39" s="4" t="s">
        <v>124</v>
      </c>
      <c r="B39" s="5">
        <v>2702770.4</v>
      </c>
    </row>
    <row r="40" spans="1:2" x14ac:dyDescent="0.45">
      <c r="A40" s="4" t="s">
        <v>136</v>
      </c>
      <c r="B40" s="5">
        <v>173676.25</v>
      </c>
    </row>
    <row r="41" spans="1:2" x14ac:dyDescent="0.45">
      <c r="A41" s="3" t="s">
        <v>141</v>
      </c>
      <c r="B41" s="5">
        <v>16630214.43</v>
      </c>
    </row>
    <row r="42" spans="1:2" x14ac:dyDescent="0.45">
      <c r="A42" s="4" t="s">
        <v>121</v>
      </c>
      <c r="B42" s="5">
        <v>1819660.25</v>
      </c>
    </row>
    <row r="43" spans="1:2" x14ac:dyDescent="0.45">
      <c r="A43" s="4" t="s">
        <v>138</v>
      </c>
      <c r="B43" s="5">
        <v>4510578.0999999996</v>
      </c>
    </row>
    <row r="44" spans="1:2" x14ac:dyDescent="0.45">
      <c r="A44" s="4" t="s">
        <v>122</v>
      </c>
      <c r="B44" s="5">
        <v>3060338.59</v>
      </c>
    </row>
    <row r="45" spans="1:2" x14ac:dyDescent="0.45">
      <c r="A45" s="4" t="s">
        <v>123</v>
      </c>
      <c r="B45" s="5">
        <v>75591.66</v>
      </c>
    </row>
    <row r="46" spans="1:2" x14ac:dyDescent="0.45">
      <c r="A46" s="4" t="s">
        <v>125</v>
      </c>
      <c r="B46" s="5">
        <v>688641.85</v>
      </c>
    </row>
    <row r="47" spans="1:2" x14ac:dyDescent="0.45">
      <c r="A47" s="4" t="s">
        <v>126</v>
      </c>
      <c r="B47" s="5">
        <v>455479.03999999998</v>
      </c>
    </row>
    <row r="48" spans="1:2" x14ac:dyDescent="0.45">
      <c r="A48" s="4" t="s">
        <v>139</v>
      </c>
      <c r="B48" s="5">
        <v>20404.71</v>
      </c>
    </row>
    <row r="49" spans="1:2" x14ac:dyDescent="0.45">
      <c r="A49" s="4" t="s">
        <v>124</v>
      </c>
      <c r="B49" s="5">
        <v>1352370.65</v>
      </c>
    </row>
    <row r="50" spans="1:2" x14ac:dyDescent="0.45">
      <c r="A50" s="4" t="s">
        <v>135</v>
      </c>
      <c r="B50" s="5">
        <v>4647149.58</v>
      </c>
    </row>
    <row r="51" spans="1:2" x14ac:dyDescent="0.45">
      <c r="A51" s="3" t="s">
        <v>142</v>
      </c>
      <c r="B51" s="5">
        <v>12427982.860000001</v>
      </c>
    </row>
    <row r="52" spans="1:2" x14ac:dyDescent="0.45">
      <c r="A52" s="4" t="s">
        <v>137</v>
      </c>
      <c r="B52" s="5">
        <v>5513227.5</v>
      </c>
    </row>
    <row r="53" spans="1:2" x14ac:dyDescent="0.45">
      <c r="A53" s="4" t="s">
        <v>121</v>
      </c>
      <c r="B53" s="5">
        <v>2003911.1199999999</v>
      </c>
    </row>
    <row r="54" spans="1:2" x14ac:dyDescent="0.45">
      <c r="A54" s="4" t="s">
        <v>138</v>
      </c>
      <c r="B54" s="5">
        <v>1059987.26</v>
      </c>
    </row>
    <row r="55" spans="1:2" x14ac:dyDescent="0.45">
      <c r="A55" s="4" t="s">
        <v>125</v>
      </c>
      <c r="B55" s="5">
        <v>1292409.45</v>
      </c>
    </row>
    <row r="56" spans="1:2" x14ac:dyDescent="0.45">
      <c r="A56" s="4" t="s">
        <v>126</v>
      </c>
      <c r="B56" s="5">
        <v>6279.09</v>
      </c>
    </row>
    <row r="57" spans="1:2" x14ac:dyDescent="0.45">
      <c r="A57" s="4" t="s">
        <v>124</v>
      </c>
      <c r="B57" s="5">
        <v>1904138.04</v>
      </c>
    </row>
    <row r="58" spans="1:2" x14ac:dyDescent="0.45">
      <c r="A58" s="4" t="s">
        <v>135</v>
      </c>
      <c r="B58" s="5">
        <v>648030.4</v>
      </c>
    </row>
    <row r="59" spans="1:2" x14ac:dyDescent="0.45">
      <c r="A59" s="3" t="s">
        <v>119</v>
      </c>
      <c r="B59" s="5">
        <v>12372867.219999999</v>
      </c>
    </row>
    <row r="60" spans="1:2" x14ac:dyDescent="0.45">
      <c r="A60" s="4" t="s">
        <v>140</v>
      </c>
      <c r="B60" s="5">
        <v>197883.4</v>
      </c>
    </row>
    <row r="61" spans="1:2" x14ac:dyDescent="0.45">
      <c r="A61" s="4" t="s">
        <v>122</v>
      </c>
      <c r="B61" s="5">
        <v>414371.1</v>
      </c>
    </row>
    <row r="62" spans="1:2" x14ac:dyDescent="0.45">
      <c r="A62" s="4" t="s">
        <v>123</v>
      </c>
      <c r="B62" s="5">
        <v>568269.6</v>
      </c>
    </row>
    <row r="63" spans="1:2" x14ac:dyDescent="0.45">
      <c r="A63" s="4" t="s">
        <v>125</v>
      </c>
      <c r="B63" s="5">
        <v>600821.43999999994</v>
      </c>
    </row>
    <row r="64" spans="1:2" x14ac:dyDescent="0.45">
      <c r="A64" s="4" t="s">
        <v>124</v>
      </c>
      <c r="B64" s="5">
        <v>221117</v>
      </c>
    </row>
    <row r="65" spans="1:2" x14ac:dyDescent="0.45">
      <c r="A65" s="4" t="s">
        <v>135</v>
      </c>
      <c r="B65" s="5">
        <v>5876405.1999999993</v>
      </c>
    </row>
    <row r="66" spans="1:2" x14ac:dyDescent="0.45">
      <c r="A66" s="4" t="s">
        <v>136</v>
      </c>
      <c r="B66" s="5">
        <v>4493999.4799999995</v>
      </c>
    </row>
    <row r="67" spans="1:2" x14ac:dyDescent="0.45">
      <c r="A67" s="3" t="s">
        <v>120</v>
      </c>
      <c r="B67" s="5">
        <v>13373419.629999999</v>
      </c>
    </row>
    <row r="68" spans="1:2" x14ac:dyDescent="0.45">
      <c r="A68" s="4" t="s">
        <v>137</v>
      </c>
      <c r="B68" s="5">
        <v>2914130.27</v>
      </c>
    </row>
    <row r="69" spans="1:2" x14ac:dyDescent="0.45">
      <c r="A69" s="4" t="s">
        <v>121</v>
      </c>
      <c r="B69" s="5">
        <v>7115008.6400000006</v>
      </c>
    </row>
    <row r="70" spans="1:2" x14ac:dyDescent="0.45">
      <c r="A70" s="4" t="s">
        <v>140</v>
      </c>
      <c r="B70" s="5">
        <v>246415.95</v>
      </c>
    </row>
    <row r="71" spans="1:2" x14ac:dyDescent="0.45">
      <c r="A71" s="4" t="s">
        <v>122</v>
      </c>
      <c r="B71" s="5">
        <v>3097864.77</v>
      </c>
    </row>
    <row r="72" spans="1:2" x14ac:dyDescent="0.45">
      <c r="A72" s="3" t="s">
        <v>115</v>
      </c>
      <c r="B72" s="5">
        <v>137348768.31000003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4173-B5D8-4B99-9FC0-162127BA59A5}">
  <dimension ref="A3:B6"/>
  <sheetViews>
    <sheetView workbookViewId="0">
      <selection activeCell="A3" sqref="A3:A6"/>
    </sheetView>
  </sheetViews>
  <sheetFormatPr defaultRowHeight="14.25" x14ac:dyDescent="0.45"/>
  <cols>
    <col min="1" max="1" width="12.06640625" bestFit="1" customWidth="1"/>
    <col min="2" max="3" width="15.265625" bestFit="1" customWidth="1"/>
  </cols>
  <sheetData>
    <row r="3" spans="1:2" x14ac:dyDescent="0.45">
      <c r="A3" s="2" t="s">
        <v>114</v>
      </c>
      <c r="B3" t="s">
        <v>128</v>
      </c>
    </row>
    <row r="4" spans="1:2" x14ac:dyDescent="0.45">
      <c r="A4" s="3" t="s">
        <v>16</v>
      </c>
      <c r="B4">
        <v>276782</v>
      </c>
    </row>
    <row r="5" spans="1:2" x14ac:dyDescent="0.45">
      <c r="A5" s="3" t="s">
        <v>21</v>
      </c>
      <c r="B5">
        <v>236089</v>
      </c>
    </row>
    <row r="6" spans="1:2" x14ac:dyDescent="0.45">
      <c r="A6" s="3" t="s">
        <v>115</v>
      </c>
      <c r="B6">
        <v>512871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4A82-00EF-409E-8D74-8B4233C53766}">
  <dimension ref="A3:D16"/>
  <sheetViews>
    <sheetView workbookViewId="0">
      <selection activeCell="K17" sqref="K17"/>
    </sheetView>
  </sheetViews>
  <sheetFormatPr defaultRowHeight="14.25" x14ac:dyDescent="0.45"/>
  <cols>
    <col min="1" max="1" width="12.33203125" bestFit="1" customWidth="1"/>
    <col min="2" max="2" width="15.265625" bestFit="1" customWidth="1"/>
    <col min="3" max="3" width="21.86328125" bestFit="1" customWidth="1"/>
    <col min="4" max="4" width="19.1328125" bestFit="1" customWidth="1"/>
    <col min="5" max="5" width="18.19921875" bestFit="1" customWidth="1"/>
  </cols>
  <sheetData>
    <row r="3" spans="1:4" x14ac:dyDescent="0.45">
      <c r="A3" s="2" t="s">
        <v>114</v>
      </c>
      <c r="B3" t="s">
        <v>128</v>
      </c>
      <c r="C3" t="s">
        <v>132</v>
      </c>
      <c r="D3" t="s">
        <v>133</v>
      </c>
    </row>
    <row r="4" spans="1:4" x14ac:dyDescent="0.45">
      <c r="A4" s="3" t="s">
        <v>15</v>
      </c>
      <c r="B4" s="6">
        <v>40545</v>
      </c>
      <c r="C4" s="6">
        <v>1478618.2285714285</v>
      </c>
      <c r="D4" s="6">
        <v>555234.8142857143</v>
      </c>
    </row>
    <row r="5" spans="1:4" x14ac:dyDescent="0.45">
      <c r="A5" s="3" t="s">
        <v>51</v>
      </c>
      <c r="B5" s="6">
        <v>56708</v>
      </c>
      <c r="C5" s="6">
        <v>336349.32500000001</v>
      </c>
      <c r="D5" s="6">
        <v>111005.90999999999</v>
      </c>
    </row>
    <row r="6" spans="1:4" x14ac:dyDescent="0.45">
      <c r="A6" s="3" t="s">
        <v>20</v>
      </c>
      <c r="B6" s="6">
        <v>25877</v>
      </c>
      <c r="C6" s="6">
        <v>760414.12857142859</v>
      </c>
      <c r="D6" s="6">
        <v>327491.91857142851</v>
      </c>
    </row>
    <row r="7" spans="1:4" x14ac:dyDescent="0.45">
      <c r="A7" s="3" t="s">
        <v>43</v>
      </c>
      <c r="B7" s="6">
        <v>71260</v>
      </c>
      <c r="C7" s="6">
        <v>599022.52307692287</v>
      </c>
      <c r="D7" s="6">
        <v>402564.18461538467</v>
      </c>
    </row>
    <row r="8" spans="1:4" x14ac:dyDescent="0.45">
      <c r="A8" s="3" t="s">
        <v>49</v>
      </c>
      <c r="B8" s="6">
        <v>83718</v>
      </c>
      <c r="C8" s="6">
        <v>2815500.7384615387</v>
      </c>
      <c r="D8" s="6">
        <v>1119696.0507692308</v>
      </c>
    </row>
    <row r="9" spans="1:4" x14ac:dyDescent="0.45">
      <c r="A9" s="3" t="s">
        <v>29</v>
      </c>
      <c r="B9" s="6">
        <v>49998</v>
      </c>
      <c r="C9" s="6">
        <v>46648.134000000005</v>
      </c>
      <c r="D9" s="6">
        <v>12049.518</v>
      </c>
    </row>
    <row r="10" spans="1:4" x14ac:dyDescent="0.45">
      <c r="A10" s="3" t="s">
        <v>33</v>
      </c>
      <c r="B10" s="6">
        <v>44727</v>
      </c>
      <c r="C10" s="6">
        <v>3321079.1433333326</v>
      </c>
      <c r="D10" s="6">
        <v>823622.8566666668</v>
      </c>
    </row>
    <row r="11" spans="1:4" x14ac:dyDescent="0.45">
      <c r="A11" s="3" t="s">
        <v>54</v>
      </c>
      <c r="B11" s="6">
        <v>10675</v>
      </c>
      <c r="C11" s="6">
        <v>2251837.875</v>
      </c>
      <c r="D11" s="6">
        <v>305305</v>
      </c>
    </row>
    <row r="12" spans="1:4" x14ac:dyDescent="0.45">
      <c r="A12" s="3" t="s">
        <v>25</v>
      </c>
      <c r="B12" s="6">
        <v>46967</v>
      </c>
      <c r="C12" s="6">
        <v>2548781.6724999999</v>
      </c>
      <c r="D12" s="6">
        <v>494131.97916666669</v>
      </c>
    </row>
    <row r="13" spans="1:4" x14ac:dyDescent="0.45">
      <c r="A13" s="3" t="s">
        <v>38</v>
      </c>
      <c r="B13" s="6">
        <v>48708</v>
      </c>
      <c r="C13" s="6">
        <v>398090.48400000005</v>
      </c>
      <c r="D13" s="6">
        <v>122062.24799999999</v>
      </c>
    </row>
    <row r="14" spans="1:4" x14ac:dyDescent="0.45">
      <c r="A14" s="3" t="s">
        <v>57</v>
      </c>
      <c r="B14" s="6">
        <v>13637</v>
      </c>
      <c r="C14" s="6">
        <v>693577.82</v>
      </c>
      <c r="D14" s="6">
        <v>250648.06000000003</v>
      </c>
    </row>
    <row r="15" spans="1:4" x14ac:dyDescent="0.45">
      <c r="A15" s="3" t="s">
        <v>36</v>
      </c>
      <c r="B15" s="6">
        <v>20051</v>
      </c>
      <c r="C15" s="6">
        <v>514842.84333333332</v>
      </c>
      <c r="D15" s="6">
        <v>210969.93833333335</v>
      </c>
    </row>
    <row r="16" spans="1:4" x14ac:dyDescent="0.45">
      <c r="A16" s="3" t="s">
        <v>115</v>
      </c>
      <c r="B16">
        <v>512871</v>
      </c>
      <c r="C16">
        <v>1373487.6830999991</v>
      </c>
      <c r="D16">
        <v>441681.98399999994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EA1C-D66D-4B09-BA39-FB4A7FD1D650}">
  <dimension ref="A3:D11"/>
  <sheetViews>
    <sheetView workbookViewId="0">
      <selection activeCell="A3" sqref="A3:A11"/>
    </sheetView>
  </sheetViews>
  <sheetFormatPr defaultRowHeight="14.25" x14ac:dyDescent="0.45"/>
  <cols>
    <col min="1" max="1" width="28.46484375" bestFit="1" customWidth="1"/>
    <col min="2" max="2" width="18.73046875" bestFit="1" customWidth="1"/>
    <col min="3" max="3" width="15.06640625" bestFit="1" customWidth="1"/>
    <col min="4" max="4" width="16" bestFit="1" customWidth="1"/>
  </cols>
  <sheetData>
    <row r="3" spans="1:4" x14ac:dyDescent="0.45">
      <c r="A3" s="2" t="s">
        <v>114</v>
      </c>
      <c r="B3" t="s">
        <v>127</v>
      </c>
      <c r="C3" t="s">
        <v>130</v>
      </c>
      <c r="D3" t="s">
        <v>131</v>
      </c>
    </row>
    <row r="4" spans="1:4" x14ac:dyDescent="0.45">
      <c r="A4" s="3" t="s">
        <v>27</v>
      </c>
      <c r="B4" s="5">
        <v>39672031.430000007</v>
      </c>
      <c r="C4" s="5">
        <v>27488820.030000005</v>
      </c>
      <c r="D4" s="5">
        <v>12183211.400000004</v>
      </c>
    </row>
    <row r="5" spans="1:4" x14ac:dyDescent="0.45">
      <c r="A5" s="3" t="s">
        <v>23</v>
      </c>
      <c r="B5" s="5">
        <v>33368932.109999999</v>
      </c>
      <c r="C5" s="5">
        <v>22285993.479999997</v>
      </c>
      <c r="D5" s="5">
        <v>11082938.629999999</v>
      </c>
    </row>
    <row r="6" spans="1:4" x14ac:dyDescent="0.45">
      <c r="A6" s="3" t="s">
        <v>40</v>
      </c>
      <c r="B6" s="5">
        <v>21347091.020000003</v>
      </c>
      <c r="C6" s="5">
        <v>15233245.149999999</v>
      </c>
      <c r="D6" s="5">
        <v>6113845.8700000001</v>
      </c>
    </row>
    <row r="7" spans="1:4" x14ac:dyDescent="0.45">
      <c r="A7" s="3" t="s">
        <v>13</v>
      </c>
      <c r="B7" s="5">
        <v>14094265.130000003</v>
      </c>
      <c r="C7" s="5">
        <v>9372105.0999999996</v>
      </c>
      <c r="D7" s="5">
        <v>4722160.03</v>
      </c>
    </row>
    <row r="8" spans="1:4" x14ac:dyDescent="0.45">
      <c r="A8" s="3" t="s">
        <v>70</v>
      </c>
      <c r="B8" s="5">
        <v>14052706.58</v>
      </c>
      <c r="C8" s="5">
        <v>8291514.7200000007</v>
      </c>
      <c r="D8" s="5">
        <v>5761191.8599999994</v>
      </c>
    </row>
    <row r="9" spans="1:4" x14ac:dyDescent="0.45">
      <c r="A9" s="3" t="s">
        <v>18</v>
      </c>
      <c r="B9" s="5">
        <v>9170385.4900000002</v>
      </c>
      <c r="C9" s="5">
        <v>6323477.6400000015</v>
      </c>
      <c r="D9" s="5">
        <v>2846907.85</v>
      </c>
    </row>
    <row r="10" spans="1:4" x14ac:dyDescent="0.45">
      <c r="A10" s="3" t="s">
        <v>97</v>
      </c>
      <c r="B10" s="5">
        <v>5643356.5500000007</v>
      </c>
      <c r="C10" s="5">
        <v>4185413.7900000005</v>
      </c>
      <c r="D10" s="5">
        <v>1457942.76</v>
      </c>
    </row>
    <row r="11" spans="1:4" x14ac:dyDescent="0.45">
      <c r="A11" s="3" t="s">
        <v>115</v>
      </c>
      <c r="B11" s="5">
        <v>137348768.31</v>
      </c>
      <c r="C11" s="5">
        <v>93180569.909999996</v>
      </c>
      <c r="D11" s="5">
        <v>44168198.400000006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workbookViewId="0">
      <selection activeCell="J23" sqref="J23:K24"/>
    </sheetView>
  </sheetViews>
  <sheetFormatPr defaultRowHeight="14.25" x14ac:dyDescent="0.45"/>
  <cols>
    <col min="1" max="1" width="28.265625" customWidth="1"/>
    <col min="2" max="2" width="18.46484375" customWidth="1"/>
    <col min="3" max="3" width="13.59765625" customWidth="1"/>
    <col min="4" max="4" width="12.3984375" customWidth="1"/>
    <col min="5" max="6" width="11.59765625" customWidth="1"/>
    <col min="7" max="7" width="11.86328125" customWidth="1"/>
    <col min="8" max="8" width="12.73046875" customWidth="1"/>
    <col min="10" max="10" width="9.86328125" customWidth="1"/>
    <col min="11" max="11" width="9.53125" customWidth="1"/>
    <col min="12" max="12" width="13.6640625" customWidth="1"/>
    <col min="13" max="13" width="10.1328125" customWidth="1"/>
    <col min="14" max="14" width="10.33203125" customWidth="1"/>
  </cols>
  <sheetData>
    <row r="1" spans="1:14" x14ac:dyDescent="0.45">
      <c r="A1" t="s">
        <v>129</v>
      </c>
      <c r="B1" t="s">
        <v>0</v>
      </c>
      <c r="C1" t="s">
        <v>1</v>
      </c>
      <c r="D1" t="s">
        <v>2</v>
      </c>
      <c r="E1" t="s">
        <v>3</v>
      </c>
      <c r="F1" t="s">
        <v>4</v>
      </c>
      <c r="G1" t="s">
        <v>5</v>
      </c>
      <c r="H1" t="s">
        <v>6</v>
      </c>
      <c r="I1" t="s">
        <v>7</v>
      </c>
      <c r="J1" t="s">
        <v>8</v>
      </c>
      <c r="K1" t="s">
        <v>9</v>
      </c>
      <c r="L1" t="s">
        <v>10</v>
      </c>
      <c r="M1" t="s">
        <v>11</v>
      </c>
      <c r="N1" t="s">
        <v>12</v>
      </c>
    </row>
    <row r="2" spans="1:14" x14ac:dyDescent="0.45">
      <c r="A2" t="s">
        <v>13</v>
      </c>
      <c r="B2" t="s">
        <v>14</v>
      </c>
      <c r="C2" t="s">
        <v>15</v>
      </c>
      <c r="D2" t="s">
        <v>16</v>
      </c>
      <c r="E2" t="s">
        <v>17</v>
      </c>
      <c r="F2" s="1">
        <v>40326</v>
      </c>
      <c r="G2">
        <v>669165933</v>
      </c>
      <c r="H2" s="1">
        <v>40356</v>
      </c>
      <c r="I2">
        <v>9925</v>
      </c>
      <c r="J2">
        <v>255.28</v>
      </c>
      <c r="K2">
        <v>159.41999999999999</v>
      </c>
      <c r="L2">
        <v>2533654</v>
      </c>
      <c r="M2">
        <v>1582243.5</v>
      </c>
      <c r="N2">
        <v>951410.5</v>
      </c>
    </row>
    <row r="3" spans="1:14" x14ac:dyDescent="0.45">
      <c r="A3" t="s">
        <v>18</v>
      </c>
      <c r="B3" t="s">
        <v>19</v>
      </c>
      <c r="C3" t="s">
        <v>20</v>
      </c>
      <c r="D3" t="s">
        <v>21</v>
      </c>
      <c r="E3" t="s">
        <v>22</v>
      </c>
      <c r="F3" s="1">
        <v>41143</v>
      </c>
      <c r="G3">
        <v>963881480</v>
      </c>
      <c r="H3" s="1">
        <v>41167</v>
      </c>
      <c r="I3">
        <v>2804</v>
      </c>
      <c r="J3">
        <v>205.7</v>
      </c>
      <c r="K3">
        <v>117.11</v>
      </c>
      <c r="L3">
        <v>576782.80000000005</v>
      </c>
      <c r="M3">
        <v>328376.44</v>
      </c>
      <c r="N3">
        <v>248406.36</v>
      </c>
    </row>
    <row r="4" spans="1:14" x14ac:dyDescent="0.45">
      <c r="A4" t="s">
        <v>23</v>
      </c>
      <c r="B4" t="s">
        <v>24</v>
      </c>
      <c r="C4" t="s">
        <v>25</v>
      </c>
      <c r="D4" t="s">
        <v>16</v>
      </c>
      <c r="E4" t="s">
        <v>26</v>
      </c>
      <c r="F4" s="1">
        <v>41761</v>
      </c>
      <c r="G4">
        <v>341417157</v>
      </c>
      <c r="H4" s="1">
        <v>41856</v>
      </c>
      <c r="I4">
        <v>1779</v>
      </c>
      <c r="J4">
        <v>651.21</v>
      </c>
      <c r="K4">
        <v>524.96</v>
      </c>
      <c r="L4">
        <v>1158502.5900000001</v>
      </c>
      <c r="M4">
        <v>933903.84</v>
      </c>
      <c r="N4">
        <v>224598.75</v>
      </c>
    </row>
    <row r="5" spans="1:14" x14ac:dyDescent="0.45">
      <c r="A5" t="s">
        <v>27</v>
      </c>
      <c r="B5" t="s">
        <v>28</v>
      </c>
      <c r="C5" t="s">
        <v>29</v>
      </c>
      <c r="D5" t="s">
        <v>21</v>
      </c>
      <c r="E5" t="s">
        <v>22</v>
      </c>
      <c r="F5" s="1">
        <v>41810</v>
      </c>
      <c r="G5">
        <v>514321792</v>
      </c>
      <c r="H5" s="1">
        <v>41766</v>
      </c>
      <c r="I5">
        <v>8102</v>
      </c>
      <c r="J5">
        <v>9.33</v>
      </c>
      <c r="K5">
        <v>6.92</v>
      </c>
      <c r="L5">
        <v>75591.66</v>
      </c>
      <c r="M5">
        <v>56065.84</v>
      </c>
      <c r="N5">
        <v>19525.82</v>
      </c>
    </row>
    <row r="6" spans="1:14" x14ac:dyDescent="0.45">
      <c r="A6" t="s">
        <v>27</v>
      </c>
      <c r="B6" t="s">
        <v>30</v>
      </c>
      <c r="C6" t="s">
        <v>25</v>
      </c>
      <c r="D6" t="s">
        <v>16</v>
      </c>
      <c r="E6" t="s">
        <v>26</v>
      </c>
      <c r="F6" s="1">
        <v>41306</v>
      </c>
      <c r="G6">
        <v>115456712</v>
      </c>
      <c r="H6" s="1">
        <v>41427</v>
      </c>
      <c r="I6">
        <v>5062</v>
      </c>
      <c r="J6">
        <v>651.21</v>
      </c>
      <c r="K6">
        <v>524.96</v>
      </c>
      <c r="L6">
        <v>3296425.02</v>
      </c>
      <c r="M6">
        <v>2657347.52</v>
      </c>
      <c r="N6">
        <v>639077.5</v>
      </c>
    </row>
    <row r="7" spans="1:14" x14ac:dyDescent="0.45">
      <c r="A7" t="s">
        <v>13</v>
      </c>
      <c r="B7" t="s">
        <v>31</v>
      </c>
      <c r="C7" t="s">
        <v>15</v>
      </c>
      <c r="D7" t="s">
        <v>21</v>
      </c>
      <c r="E7" t="s">
        <v>22</v>
      </c>
      <c r="F7" s="1">
        <v>42039</v>
      </c>
      <c r="G7">
        <v>547995746</v>
      </c>
      <c r="H7" s="1">
        <v>42056</v>
      </c>
      <c r="I7">
        <v>2974</v>
      </c>
      <c r="J7">
        <v>255.28</v>
      </c>
      <c r="K7">
        <v>159.41999999999999</v>
      </c>
      <c r="L7">
        <v>759202.72</v>
      </c>
      <c r="M7">
        <v>474115.08</v>
      </c>
      <c r="N7">
        <v>285087.64</v>
      </c>
    </row>
    <row r="8" spans="1:14" x14ac:dyDescent="0.45">
      <c r="A8" t="s">
        <v>27</v>
      </c>
      <c r="B8" t="s">
        <v>32</v>
      </c>
      <c r="C8" t="s">
        <v>33</v>
      </c>
      <c r="D8" t="s">
        <v>16</v>
      </c>
      <c r="E8" t="s">
        <v>34</v>
      </c>
      <c r="F8" s="1">
        <v>40656</v>
      </c>
      <c r="G8">
        <v>135425221</v>
      </c>
      <c r="H8" s="1">
        <v>40660</v>
      </c>
      <c r="I8">
        <v>4187</v>
      </c>
      <c r="J8">
        <v>668.27</v>
      </c>
      <c r="K8">
        <v>502.54</v>
      </c>
      <c r="L8">
        <v>2798046.49</v>
      </c>
      <c r="M8">
        <v>2104134.98</v>
      </c>
      <c r="N8">
        <v>693911.51</v>
      </c>
    </row>
    <row r="9" spans="1:14" x14ac:dyDescent="0.45">
      <c r="A9" t="s">
        <v>27</v>
      </c>
      <c r="B9" t="s">
        <v>35</v>
      </c>
      <c r="C9" t="s">
        <v>36</v>
      </c>
      <c r="D9" t="s">
        <v>21</v>
      </c>
      <c r="E9" t="s">
        <v>17</v>
      </c>
      <c r="F9" s="1">
        <v>41107</v>
      </c>
      <c r="G9">
        <v>871543967</v>
      </c>
      <c r="H9" s="1">
        <v>41117</v>
      </c>
      <c r="I9">
        <v>8082</v>
      </c>
      <c r="J9">
        <v>154.06</v>
      </c>
      <c r="K9">
        <v>90.93</v>
      </c>
      <c r="L9">
        <v>1245112.92</v>
      </c>
      <c r="M9">
        <v>734896.26</v>
      </c>
      <c r="N9">
        <v>510216.66</v>
      </c>
    </row>
    <row r="10" spans="1:14" x14ac:dyDescent="0.45">
      <c r="A10" t="s">
        <v>27</v>
      </c>
      <c r="B10" t="s">
        <v>37</v>
      </c>
      <c r="C10" t="s">
        <v>38</v>
      </c>
      <c r="D10" t="s">
        <v>16</v>
      </c>
      <c r="E10" t="s">
        <v>34</v>
      </c>
      <c r="F10" s="1">
        <v>42199</v>
      </c>
      <c r="G10">
        <v>770463311</v>
      </c>
      <c r="H10" s="1">
        <v>42241</v>
      </c>
      <c r="I10">
        <v>6070</v>
      </c>
      <c r="J10">
        <v>81.73</v>
      </c>
      <c r="K10">
        <v>56.67</v>
      </c>
      <c r="L10">
        <v>496101.1</v>
      </c>
      <c r="M10">
        <v>343986.9</v>
      </c>
      <c r="N10">
        <v>152114.20000000001</v>
      </c>
    </row>
    <row r="11" spans="1:14" x14ac:dyDescent="0.45">
      <c r="A11" t="s">
        <v>27</v>
      </c>
      <c r="B11" t="s">
        <v>39</v>
      </c>
      <c r="C11" t="s">
        <v>20</v>
      </c>
      <c r="D11" t="s">
        <v>21</v>
      </c>
      <c r="E11" t="s">
        <v>17</v>
      </c>
      <c r="F11" s="1">
        <v>41747</v>
      </c>
      <c r="G11">
        <v>616607081</v>
      </c>
      <c r="H11" s="1">
        <v>41789</v>
      </c>
      <c r="I11">
        <v>6593</v>
      </c>
      <c r="J11">
        <v>205.7</v>
      </c>
      <c r="K11">
        <v>117.11</v>
      </c>
      <c r="L11">
        <v>1356180.1</v>
      </c>
      <c r="M11">
        <v>772106.23</v>
      </c>
      <c r="N11">
        <v>584073.87</v>
      </c>
    </row>
    <row r="12" spans="1:14" x14ac:dyDescent="0.45">
      <c r="A12" t="s">
        <v>40</v>
      </c>
      <c r="B12" t="s">
        <v>41</v>
      </c>
      <c r="C12" t="s">
        <v>36</v>
      </c>
      <c r="D12" t="s">
        <v>21</v>
      </c>
      <c r="E12" t="s">
        <v>17</v>
      </c>
      <c r="F12" s="1">
        <v>40718</v>
      </c>
      <c r="G12">
        <v>814711606</v>
      </c>
      <c r="H12" s="1">
        <v>40884</v>
      </c>
      <c r="I12">
        <v>124</v>
      </c>
      <c r="J12">
        <v>154.06</v>
      </c>
      <c r="K12">
        <v>90.93</v>
      </c>
      <c r="L12">
        <v>19103.439999999999</v>
      </c>
      <c r="M12">
        <v>11275.32</v>
      </c>
      <c r="N12">
        <v>7828.12</v>
      </c>
    </row>
    <row r="13" spans="1:14" x14ac:dyDescent="0.45">
      <c r="A13" t="s">
        <v>27</v>
      </c>
      <c r="B13" t="s">
        <v>42</v>
      </c>
      <c r="C13" t="s">
        <v>43</v>
      </c>
      <c r="D13" t="s">
        <v>16</v>
      </c>
      <c r="E13" t="s">
        <v>17</v>
      </c>
      <c r="F13" s="1">
        <v>41853</v>
      </c>
      <c r="G13">
        <v>939825713</v>
      </c>
      <c r="H13" s="1">
        <v>41870</v>
      </c>
      <c r="I13">
        <v>4168</v>
      </c>
      <c r="J13">
        <v>109.28</v>
      </c>
      <c r="K13">
        <v>35.840000000000003</v>
      </c>
      <c r="L13">
        <v>455479.03999999998</v>
      </c>
      <c r="M13">
        <v>149381.12</v>
      </c>
      <c r="N13">
        <v>306097.91999999998</v>
      </c>
    </row>
    <row r="14" spans="1:14" x14ac:dyDescent="0.45">
      <c r="A14" t="s">
        <v>40</v>
      </c>
      <c r="B14" t="s">
        <v>44</v>
      </c>
      <c r="C14" t="s">
        <v>43</v>
      </c>
      <c r="D14" t="s">
        <v>21</v>
      </c>
      <c r="E14" t="s">
        <v>26</v>
      </c>
      <c r="F14" s="1">
        <v>42748</v>
      </c>
      <c r="G14">
        <v>187310731</v>
      </c>
      <c r="H14" s="1">
        <v>42738</v>
      </c>
      <c r="I14">
        <v>8263</v>
      </c>
      <c r="J14">
        <v>109.28</v>
      </c>
      <c r="K14">
        <v>35.840000000000003</v>
      </c>
      <c r="L14">
        <v>902980.64</v>
      </c>
      <c r="M14">
        <v>296145.91999999998</v>
      </c>
      <c r="N14">
        <v>606834.72</v>
      </c>
    </row>
    <row r="15" spans="1:14" x14ac:dyDescent="0.45">
      <c r="A15" t="s">
        <v>18</v>
      </c>
      <c r="B15" t="s">
        <v>45</v>
      </c>
      <c r="C15" t="s">
        <v>33</v>
      </c>
      <c r="D15" t="s">
        <v>16</v>
      </c>
      <c r="E15" t="s">
        <v>17</v>
      </c>
      <c r="F15" s="1">
        <v>42774</v>
      </c>
      <c r="G15">
        <v>522840487</v>
      </c>
      <c r="H15" s="1">
        <v>42779</v>
      </c>
      <c r="I15">
        <v>8974</v>
      </c>
      <c r="J15">
        <v>668.27</v>
      </c>
      <c r="K15">
        <v>502.54</v>
      </c>
      <c r="L15">
        <v>5997054.9800000004</v>
      </c>
      <c r="M15">
        <v>4509793.96</v>
      </c>
      <c r="N15">
        <v>1487261.02</v>
      </c>
    </row>
    <row r="16" spans="1:14" x14ac:dyDescent="0.45">
      <c r="A16" t="s">
        <v>40</v>
      </c>
      <c r="B16" t="s">
        <v>46</v>
      </c>
      <c r="C16" t="s">
        <v>38</v>
      </c>
      <c r="D16" t="s">
        <v>16</v>
      </c>
      <c r="E16" t="s">
        <v>22</v>
      </c>
      <c r="F16" s="1">
        <v>41689</v>
      </c>
      <c r="G16">
        <v>832401311</v>
      </c>
      <c r="H16" s="1">
        <v>41693</v>
      </c>
      <c r="I16">
        <v>4901</v>
      </c>
      <c r="J16">
        <v>81.73</v>
      </c>
      <c r="K16">
        <v>56.67</v>
      </c>
      <c r="L16">
        <v>400558.73</v>
      </c>
      <c r="M16">
        <v>277739.67</v>
      </c>
      <c r="N16">
        <v>122819.06</v>
      </c>
    </row>
    <row r="17" spans="1:14" x14ac:dyDescent="0.45">
      <c r="A17" t="s">
        <v>23</v>
      </c>
      <c r="B17" t="s">
        <v>47</v>
      </c>
      <c r="C17" t="s">
        <v>43</v>
      </c>
      <c r="D17" t="s">
        <v>21</v>
      </c>
      <c r="E17" t="s">
        <v>34</v>
      </c>
      <c r="F17" s="1">
        <v>41022</v>
      </c>
      <c r="G17">
        <v>972292029</v>
      </c>
      <c r="H17" s="1">
        <v>40974</v>
      </c>
      <c r="I17">
        <v>1673</v>
      </c>
      <c r="J17">
        <v>109.28</v>
      </c>
      <c r="K17">
        <v>35.840000000000003</v>
      </c>
      <c r="L17">
        <v>182825.44</v>
      </c>
      <c r="M17">
        <v>59960.32</v>
      </c>
      <c r="N17">
        <v>122865.12</v>
      </c>
    </row>
    <row r="18" spans="1:14" x14ac:dyDescent="0.45">
      <c r="A18" t="s">
        <v>40</v>
      </c>
      <c r="B18" t="s">
        <v>48</v>
      </c>
      <c r="C18" t="s">
        <v>49</v>
      </c>
      <c r="D18" t="s">
        <v>16</v>
      </c>
      <c r="E18" t="s">
        <v>34</v>
      </c>
      <c r="F18" s="1">
        <v>42693</v>
      </c>
      <c r="G18">
        <v>419123971</v>
      </c>
      <c r="H18" s="1">
        <v>42722</v>
      </c>
      <c r="I18">
        <v>6952</v>
      </c>
      <c r="J18">
        <v>437.2</v>
      </c>
      <c r="K18">
        <v>263.33</v>
      </c>
      <c r="L18">
        <v>3039414.4</v>
      </c>
      <c r="M18">
        <v>1830670.16</v>
      </c>
      <c r="N18">
        <v>1208744.24</v>
      </c>
    </row>
    <row r="19" spans="1:14" x14ac:dyDescent="0.45">
      <c r="A19" t="s">
        <v>27</v>
      </c>
      <c r="B19" t="s">
        <v>50</v>
      </c>
      <c r="C19" t="s">
        <v>51</v>
      </c>
      <c r="D19" t="s">
        <v>16</v>
      </c>
      <c r="E19" t="s">
        <v>22</v>
      </c>
      <c r="F19" s="1">
        <v>42095</v>
      </c>
      <c r="G19">
        <v>519820964</v>
      </c>
      <c r="H19" s="1">
        <v>42112</v>
      </c>
      <c r="I19">
        <v>5430</v>
      </c>
      <c r="J19">
        <v>47.45</v>
      </c>
      <c r="K19">
        <v>31.79</v>
      </c>
      <c r="L19">
        <v>257653.5</v>
      </c>
      <c r="M19">
        <v>172619.7</v>
      </c>
      <c r="N19">
        <v>85033.8</v>
      </c>
    </row>
    <row r="20" spans="1:14" x14ac:dyDescent="0.45">
      <c r="A20" t="s">
        <v>40</v>
      </c>
      <c r="B20" t="s">
        <v>52</v>
      </c>
      <c r="C20" t="s">
        <v>33</v>
      </c>
      <c r="D20" t="s">
        <v>16</v>
      </c>
      <c r="E20" t="s">
        <v>26</v>
      </c>
      <c r="F20" s="1">
        <v>40542</v>
      </c>
      <c r="G20">
        <v>441619336</v>
      </c>
      <c r="H20" s="1">
        <v>40563</v>
      </c>
      <c r="I20">
        <v>3830</v>
      </c>
      <c r="J20">
        <v>668.27</v>
      </c>
      <c r="K20">
        <v>502.54</v>
      </c>
      <c r="L20">
        <v>2559474.1</v>
      </c>
      <c r="M20">
        <v>1924728.2</v>
      </c>
      <c r="N20">
        <v>634745.9</v>
      </c>
    </row>
    <row r="21" spans="1:14" x14ac:dyDescent="0.45">
      <c r="A21" t="s">
        <v>13</v>
      </c>
      <c r="B21" t="s">
        <v>53</v>
      </c>
      <c r="C21" t="s">
        <v>54</v>
      </c>
      <c r="D21" t="s">
        <v>21</v>
      </c>
      <c r="E21" t="s">
        <v>26</v>
      </c>
      <c r="F21" s="1">
        <v>41121</v>
      </c>
      <c r="G21">
        <v>322067916</v>
      </c>
      <c r="H21" s="1">
        <v>41222</v>
      </c>
      <c r="I21">
        <v>5908</v>
      </c>
      <c r="J21">
        <v>421.89</v>
      </c>
      <c r="K21">
        <v>364.69</v>
      </c>
      <c r="L21">
        <v>2492526.12</v>
      </c>
      <c r="M21">
        <v>2154588.52</v>
      </c>
      <c r="N21">
        <v>337937.6</v>
      </c>
    </row>
    <row r="22" spans="1:14" x14ac:dyDescent="0.45">
      <c r="A22" t="s">
        <v>23</v>
      </c>
      <c r="B22" t="s">
        <v>55</v>
      </c>
      <c r="C22" t="s">
        <v>15</v>
      </c>
      <c r="D22" t="s">
        <v>21</v>
      </c>
      <c r="E22" t="s">
        <v>26</v>
      </c>
      <c r="F22" s="1">
        <v>41773</v>
      </c>
      <c r="G22">
        <v>819028031</v>
      </c>
      <c r="H22" s="1">
        <v>41818</v>
      </c>
      <c r="I22">
        <v>7450</v>
      </c>
      <c r="J22">
        <v>255.28</v>
      </c>
      <c r="K22">
        <v>159.41999999999999</v>
      </c>
      <c r="L22">
        <v>1901836</v>
      </c>
      <c r="M22">
        <v>1187679</v>
      </c>
      <c r="N22">
        <v>714157</v>
      </c>
    </row>
    <row r="23" spans="1:14" x14ac:dyDescent="0.45">
      <c r="A23" t="s">
        <v>23</v>
      </c>
      <c r="B23" t="s">
        <v>56</v>
      </c>
      <c r="C23" t="s">
        <v>15</v>
      </c>
      <c r="D23" t="s">
        <v>21</v>
      </c>
      <c r="E23" t="s">
        <v>17</v>
      </c>
      <c r="F23" s="1">
        <v>42216</v>
      </c>
      <c r="G23">
        <v>860673511</v>
      </c>
      <c r="H23" s="1">
        <v>42072</v>
      </c>
      <c r="I23">
        <v>1273</v>
      </c>
      <c r="J23">
        <v>255.28</v>
      </c>
      <c r="K23">
        <v>159.41999999999999</v>
      </c>
      <c r="L23">
        <v>324971.44</v>
      </c>
      <c r="M23">
        <v>202941.66</v>
      </c>
      <c r="N23">
        <v>122029.78</v>
      </c>
    </row>
    <row r="24" spans="1:14" x14ac:dyDescent="0.45">
      <c r="A24" t="s">
        <v>18</v>
      </c>
      <c r="B24" t="s">
        <v>45</v>
      </c>
      <c r="C24" t="s">
        <v>57</v>
      </c>
      <c r="D24" t="s">
        <v>21</v>
      </c>
      <c r="E24" t="s">
        <v>26</v>
      </c>
      <c r="F24" s="1">
        <v>42551</v>
      </c>
      <c r="G24">
        <v>795490682</v>
      </c>
      <c r="H24" s="1">
        <v>42577</v>
      </c>
      <c r="I24">
        <v>2225</v>
      </c>
      <c r="J24">
        <v>152.58000000000001</v>
      </c>
      <c r="K24">
        <v>97.44</v>
      </c>
      <c r="L24">
        <v>339490.5</v>
      </c>
      <c r="M24">
        <v>216804</v>
      </c>
      <c r="N24">
        <v>122686.5</v>
      </c>
    </row>
    <row r="25" spans="1:14" x14ac:dyDescent="0.45">
      <c r="A25" t="s">
        <v>13</v>
      </c>
      <c r="B25" t="s">
        <v>58</v>
      </c>
      <c r="C25" t="s">
        <v>29</v>
      </c>
      <c r="D25" t="s">
        <v>21</v>
      </c>
      <c r="E25" t="s">
        <v>17</v>
      </c>
      <c r="F25" s="1">
        <v>41890</v>
      </c>
      <c r="G25">
        <v>142278373</v>
      </c>
      <c r="H25" s="1">
        <v>41739</v>
      </c>
      <c r="I25">
        <v>2187</v>
      </c>
      <c r="J25">
        <v>9.33</v>
      </c>
      <c r="K25">
        <v>6.92</v>
      </c>
      <c r="L25">
        <v>20404.71</v>
      </c>
      <c r="M25">
        <v>15134.04</v>
      </c>
      <c r="N25">
        <v>5270.67</v>
      </c>
    </row>
    <row r="26" spans="1:14" x14ac:dyDescent="0.45">
      <c r="A26" t="s">
        <v>23</v>
      </c>
      <c r="B26" t="s">
        <v>59</v>
      </c>
      <c r="C26" t="s">
        <v>38</v>
      </c>
      <c r="D26" t="s">
        <v>21</v>
      </c>
      <c r="E26" t="s">
        <v>26</v>
      </c>
      <c r="F26" s="1">
        <v>42497</v>
      </c>
      <c r="G26">
        <v>740147912</v>
      </c>
      <c r="H26" s="1">
        <v>42648</v>
      </c>
      <c r="I26">
        <v>5070</v>
      </c>
      <c r="J26">
        <v>81.73</v>
      </c>
      <c r="K26">
        <v>56.67</v>
      </c>
      <c r="L26">
        <v>414371.1</v>
      </c>
      <c r="M26">
        <v>287316.90000000002</v>
      </c>
      <c r="N26">
        <v>127054.2</v>
      </c>
    </row>
    <row r="27" spans="1:14" x14ac:dyDescent="0.45">
      <c r="A27" t="s">
        <v>23</v>
      </c>
      <c r="B27" t="s">
        <v>60</v>
      </c>
      <c r="C27" t="s">
        <v>49</v>
      </c>
      <c r="D27" t="s">
        <v>21</v>
      </c>
      <c r="E27" t="s">
        <v>17</v>
      </c>
      <c r="F27" s="1">
        <v>42877</v>
      </c>
      <c r="G27">
        <v>898523128</v>
      </c>
      <c r="H27" s="1">
        <v>42861</v>
      </c>
      <c r="I27">
        <v>1815</v>
      </c>
      <c r="J27">
        <v>437.2</v>
      </c>
      <c r="K27">
        <v>263.33</v>
      </c>
      <c r="L27">
        <v>793518</v>
      </c>
      <c r="M27">
        <v>477943.95</v>
      </c>
      <c r="N27">
        <v>315574.05</v>
      </c>
    </row>
    <row r="28" spans="1:14" x14ac:dyDescent="0.45">
      <c r="A28" t="s">
        <v>13</v>
      </c>
      <c r="B28" t="s">
        <v>61</v>
      </c>
      <c r="C28" t="s">
        <v>29</v>
      </c>
      <c r="D28" t="s">
        <v>21</v>
      </c>
      <c r="E28" t="s">
        <v>34</v>
      </c>
      <c r="F28" s="1">
        <v>41925</v>
      </c>
      <c r="G28">
        <v>347140347</v>
      </c>
      <c r="H28" s="1">
        <v>41923</v>
      </c>
      <c r="I28">
        <v>5398</v>
      </c>
      <c r="J28">
        <v>9.33</v>
      </c>
      <c r="K28">
        <v>6.92</v>
      </c>
      <c r="L28">
        <v>50363.34</v>
      </c>
      <c r="M28">
        <v>37354.160000000003</v>
      </c>
      <c r="N28">
        <v>13009.18</v>
      </c>
    </row>
    <row r="29" spans="1:14" x14ac:dyDescent="0.45">
      <c r="A29" t="s">
        <v>27</v>
      </c>
      <c r="B29" t="s">
        <v>62</v>
      </c>
      <c r="C29" t="s">
        <v>29</v>
      </c>
      <c r="D29" t="s">
        <v>21</v>
      </c>
      <c r="E29" t="s">
        <v>26</v>
      </c>
      <c r="F29" s="1">
        <v>40305</v>
      </c>
      <c r="G29">
        <v>686048400</v>
      </c>
      <c r="H29" s="1">
        <v>40456</v>
      </c>
      <c r="I29">
        <v>5822</v>
      </c>
      <c r="J29">
        <v>9.33</v>
      </c>
      <c r="K29">
        <v>6.92</v>
      </c>
      <c r="L29">
        <v>54319.26</v>
      </c>
      <c r="M29">
        <v>40288.239999999998</v>
      </c>
      <c r="N29">
        <v>14031.02</v>
      </c>
    </row>
    <row r="30" spans="1:14" x14ac:dyDescent="0.45">
      <c r="A30" t="s">
        <v>23</v>
      </c>
      <c r="B30" t="s">
        <v>55</v>
      </c>
      <c r="C30" t="s">
        <v>51</v>
      </c>
      <c r="D30" t="s">
        <v>16</v>
      </c>
      <c r="E30" t="s">
        <v>22</v>
      </c>
      <c r="F30" s="1">
        <v>41838</v>
      </c>
      <c r="G30">
        <v>435608613</v>
      </c>
      <c r="H30" s="1">
        <v>41850</v>
      </c>
      <c r="I30">
        <v>5124</v>
      </c>
      <c r="J30">
        <v>47.45</v>
      </c>
      <c r="K30">
        <v>31.79</v>
      </c>
      <c r="L30">
        <v>243133.8</v>
      </c>
      <c r="M30">
        <v>162891.96</v>
      </c>
      <c r="N30">
        <v>80241.84</v>
      </c>
    </row>
    <row r="31" spans="1:14" x14ac:dyDescent="0.45">
      <c r="A31" t="s">
        <v>27</v>
      </c>
      <c r="B31" t="s">
        <v>63</v>
      </c>
      <c r="C31" t="s">
        <v>33</v>
      </c>
      <c r="D31" t="s">
        <v>16</v>
      </c>
      <c r="E31" t="s">
        <v>26</v>
      </c>
      <c r="F31" s="1">
        <v>41055</v>
      </c>
      <c r="G31">
        <v>886494815</v>
      </c>
      <c r="H31" s="1">
        <v>41158</v>
      </c>
      <c r="I31">
        <v>2370</v>
      </c>
      <c r="J31">
        <v>668.27</v>
      </c>
      <c r="K31">
        <v>502.54</v>
      </c>
      <c r="L31">
        <v>1583799.9</v>
      </c>
      <c r="M31">
        <v>1191019.8</v>
      </c>
      <c r="N31">
        <v>392780.1</v>
      </c>
    </row>
    <row r="32" spans="1:14" x14ac:dyDescent="0.45">
      <c r="A32" t="s">
        <v>23</v>
      </c>
      <c r="B32" t="s">
        <v>64</v>
      </c>
      <c r="C32" t="s">
        <v>49</v>
      </c>
      <c r="D32" t="s">
        <v>16</v>
      </c>
      <c r="E32" t="s">
        <v>34</v>
      </c>
      <c r="F32" s="1">
        <v>41169</v>
      </c>
      <c r="G32">
        <v>249693334</v>
      </c>
      <c r="H32" s="1">
        <v>41202</v>
      </c>
      <c r="I32">
        <v>8661</v>
      </c>
      <c r="J32">
        <v>437.2</v>
      </c>
      <c r="K32">
        <v>263.33</v>
      </c>
      <c r="L32">
        <v>3786589.2</v>
      </c>
      <c r="M32">
        <v>2280701.13</v>
      </c>
      <c r="N32">
        <v>1505888.07</v>
      </c>
    </row>
    <row r="33" spans="1:14" x14ac:dyDescent="0.45">
      <c r="A33" t="s">
        <v>27</v>
      </c>
      <c r="B33" t="s">
        <v>65</v>
      </c>
      <c r="C33" t="s">
        <v>38</v>
      </c>
      <c r="D33" t="s">
        <v>16</v>
      </c>
      <c r="E33" t="s">
        <v>22</v>
      </c>
      <c r="F33" s="1">
        <v>41637</v>
      </c>
      <c r="G33">
        <v>406502997</v>
      </c>
      <c r="H33" s="1">
        <v>41667</v>
      </c>
      <c r="I33">
        <v>2125</v>
      </c>
      <c r="J33">
        <v>81.73</v>
      </c>
      <c r="K33">
        <v>56.67</v>
      </c>
      <c r="L33">
        <v>173676.25</v>
      </c>
      <c r="M33">
        <v>120423.75</v>
      </c>
      <c r="N33">
        <v>53252.5</v>
      </c>
    </row>
    <row r="34" spans="1:14" x14ac:dyDescent="0.45">
      <c r="A34" t="s">
        <v>13</v>
      </c>
      <c r="B34" t="s">
        <v>66</v>
      </c>
      <c r="C34" t="s">
        <v>25</v>
      </c>
      <c r="D34" t="s">
        <v>21</v>
      </c>
      <c r="E34" t="s">
        <v>22</v>
      </c>
      <c r="F34" s="1">
        <v>42304</v>
      </c>
      <c r="G34">
        <v>158535134</v>
      </c>
      <c r="H34" s="1">
        <v>42333</v>
      </c>
      <c r="I34">
        <v>2924</v>
      </c>
      <c r="J34">
        <v>651.21</v>
      </c>
      <c r="K34">
        <v>524.96</v>
      </c>
      <c r="L34">
        <v>1904138.04</v>
      </c>
      <c r="M34">
        <v>1534983.04</v>
      </c>
      <c r="N34">
        <v>369155</v>
      </c>
    </row>
    <row r="35" spans="1:14" x14ac:dyDescent="0.45">
      <c r="A35" t="s">
        <v>40</v>
      </c>
      <c r="B35" t="s">
        <v>67</v>
      </c>
      <c r="C35" t="s">
        <v>33</v>
      </c>
      <c r="D35" t="s">
        <v>16</v>
      </c>
      <c r="E35" t="s">
        <v>17</v>
      </c>
      <c r="F35" s="1">
        <v>42020</v>
      </c>
      <c r="G35">
        <v>177713572</v>
      </c>
      <c r="H35" s="1">
        <v>42007</v>
      </c>
      <c r="I35">
        <v>8250</v>
      </c>
      <c r="J35">
        <v>668.27</v>
      </c>
      <c r="K35">
        <v>502.54</v>
      </c>
      <c r="L35">
        <v>5513227.5</v>
      </c>
      <c r="M35">
        <v>4145955</v>
      </c>
      <c r="N35">
        <v>1367272.5</v>
      </c>
    </row>
    <row r="36" spans="1:14" x14ac:dyDescent="0.45">
      <c r="A36" t="s">
        <v>27</v>
      </c>
      <c r="B36" t="s">
        <v>68</v>
      </c>
      <c r="C36" t="s">
        <v>57</v>
      </c>
      <c r="D36" t="s">
        <v>21</v>
      </c>
      <c r="E36" t="s">
        <v>34</v>
      </c>
      <c r="F36" s="1">
        <v>42791</v>
      </c>
      <c r="G36">
        <v>756274640</v>
      </c>
      <c r="H36" s="1">
        <v>42791</v>
      </c>
      <c r="I36">
        <v>7327</v>
      </c>
      <c r="J36">
        <v>152.58000000000001</v>
      </c>
      <c r="K36">
        <v>97.44</v>
      </c>
      <c r="L36">
        <v>1117953.6599999999</v>
      </c>
      <c r="M36">
        <v>713942.88</v>
      </c>
      <c r="N36">
        <v>404010.78</v>
      </c>
    </row>
    <row r="37" spans="1:14" x14ac:dyDescent="0.45">
      <c r="A37" t="s">
        <v>18</v>
      </c>
      <c r="B37" t="s">
        <v>69</v>
      </c>
      <c r="C37" t="s">
        <v>38</v>
      </c>
      <c r="D37" t="s">
        <v>16</v>
      </c>
      <c r="E37" t="s">
        <v>26</v>
      </c>
      <c r="F37" s="1">
        <v>42863</v>
      </c>
      <c r="G37">
        <v>456767165</v>
      </c>
      <c r="H37" s="1">
        <v>42876</v>
      </c>
      <c r="I37">
        <v>6409</v>
      </c>
      <c r="J37">
        <v>81.73</v>
      </c>
      <c r="K37">
        <v>56.67</v>
      </c>
      <c r="L37">
        <v>523807.57</v>
      </c>
      <c r="M37">
        <v>363198.03</v>
      </c>
      <c r="N37">
        <v>160609.54</v>
      </c>
    </row>
    <row r="38" spans="1:14" x14ac:dyDescent="0.45">
      <c r="A38" t="s">
        <v>70</v>
      </c>
      <c r="B38" t="s">
        <v>71</v>
      </c>
      <c r="C38" t="s">
        <v>29</v>
      </c>
      <c r="D38" t="s">
        <v>21</v>
      </c>
      <c r="E38" t="s">
        <v>26</v>
      </c>
      <c r="F38" s="1">
        <v>40869</v>
      </c>
      <c r="G38">
        <v>162052476</v>
      </c>
      <c r="H38" s="1">
        <v>40614</v>
      </c>
      <c r="I38">
        <v>3784</v>
      </c>
      <c r="J38">
        <v>9.33</v>
      </c>
      <c r="K38">
        <v>6.92</v>
      </c>
      <c r="L38">
        <v>35304.720000000001</v>
      </c>
      <c r="M38">
        <v>26185.279999999999</v>
      </c>
      <c r="N38">
        <v>9119.44</v>
      </c>
    </row>
    <row r="39" spans="1:14" x14ac:dyDescent="0.45">
      <c r="A39" t="s">
        <v>27</v>
      </c>
      <c r="B39" t="s">
        <v>63</v>
      </c>
      <c r="C39" t="s">
        <v>54</v>
      </c>
      <c r="D39" t="s">
        <v>21</v>
      </c>
      <c r="E39" t="s">
        <v>34</v>
      </c>
      <c r="F39" s="1">
        <v>42749</v>
      </c>
      <c r="G39">
        <v>825304400</v>
      </c>
      <c r="H39" s="1">
        <v>42758</v>
      </c>
      <c r="I39">
        <v>4767</v>
      </c>
      <c r="J39">
        <v>421.89</v>
      </c>
      <c r="K39">
        <v>364.69</v>
      </c>
      <c r="L39">
        <v>2011149.63</v>
      </c>
      <c r="M39">
        <v>1738477.23</v>
      </c>
      <c r="N39">
        <v>272672.40000000002</v>
      </c>
    </row>
    <row r="40" spans="1:14" x14ac:dyDescent="0.45">
      <c r="A40" t="s">
        <v>40</v>
      </c>
      <c r="B40" t="s">
        <v>72</v>
      </c>
      <c r="C40" t="s">
        <v>25</v>
      </c>
      <c r="D40" t="s">
        <v>21</v>
      </c>
      <c r="E40" t="s">
        <v>26</v>
      </c>
      <c r="F40" s="1">
        <v>41000</v>
      </c>
      <c r="G40">
        <v>320009267</v>
      </c>
      <c r="H40" s="1">
        <v>41126</v>
      </c>
      <c r="I40">
        <v>6708</v>
      </c>
      <c r="J40">
        <v>651.21</v>
      </c>
      <c r="K40">
        <v>524.96</v>
      </c>
      <c r="L40">
        <v>4368316.68</v>
      </c>
      <c r="M40">
        <v>3521431.68</v>
      </c>
      <c r="N40">
        <v>846885</v>
      </c>
    </row>
    <row r="41" spans="1:14" x14ac:dyDescent="0.45">
      <c r="A41" t="s">
        <v>23</v>
      </c>
      <c r="B41" t="s">
        <v>47</v>
      </c>
      <c r="C41" t="s">
        <v>25</v>
      </c>
      <c r="D41" t="s">
        <v>21</v>
      </c>
      <c r="E41" t="s">
        <v>34</v>
      </c>
      <c r="F41" s="1">
        <v>40955</v>
      </c>
      <c r="G41">
        <v>189965903</v>
      </c>
      <c r="H41" s="1">
        <v>40967</v>
      </c>
      <c r="I41">
        <v>3987</v>
      </c>
      <c r="J41">
        <v>651.21</v>
      </c>
      <c r="K41">
        <v>524.96</v>
      </c>
      <c r="L41">
        <v>2596374.27</v>
      </c>
      <c r="M41">
        <v>2093015.52</v>
      </c>
      <c r="N41">
        <v>503358.75</v>
      </c>
    </row>
    <row r="42" spans="1:14" x14ac:dyDescent="0.45">
      <c r="A42" t="s">
        <v>27</v>
      </c>
      <c r="B42" t="s">
        <v>73</v>
      </c>
      <c r="C42" t="s">
        <v>38</v>
      </c>
      <c r="D42" t="s">
        <v>21</v>
      </c>
      <c r="E42" t="s">
        <v>17</v>
      </c>
      <c r="F42" s="1">
        <v>42805</v>
      </c>
      <c r="G42">
        <v>699285638</v>
      </c>
      <c r="H42" s="1">
        <v>42822</v>
      </c>
      <c r="I42">
        <v>3015</v>
      </c>
      <c r="J42">
        <v>81.73</v>
      </c>
      <c r="K42">
        <v>56.67</v>
      </c>
      <c r="L42">
        <v>246415.95</v>
      </c>
      <c r="M42">
        <v>170860.05</v>
      </c>
      <c r="N42">
        <v>75555.899999999994</v>
      </c>
    </row>
    <row r="43" spans="1:14" x14ac:dyDescent="0.45">
      <c r="A43" t="s">
        <v>70</v>
      </c>
      <c r="B43" t="s">
        <v>74</v>
      </c>
      <c r="C43" t="s">
        <v>49</v>
      </c>
      <c r="D43" t="s">
        <v>21</v>
      </c>
      <c r="E43" t="s">
        <v>34</v>
      </c>
      <c r="F43" s="1">
        <v>40215</v>
      </c>
      <c r="G43">
        <v>382392299</v>
      </c>
      <c r="H43" s="1">
        <v>40234</v>
      </c>
      <c r="I43">
        <v>7234</v>
      </c>
      <c r="J43">
        <v>437.2</v>
      </c>
      <c r="K43">
        <v>263.33</v>
      </c>
      <c r="L43">
        <v>3162704.8</v>
      </c>
      <c r="M43">
        <v>1904929.22</v>
      </c>
      <c r="N43">
        <v>1257775.58</v>
      </c>
    </row>
    <row r="44" spans="1:14" x14ac:dyDescent="0.45">
      <c r="A44" t="s">
        <v>27</v>
      </c>
      <c r="B44" t="s">
        <v>63</v>
      </c>
      <c r="C44" t="s">
        <v>20</v>
      </c>
      <c r="D44" t="s">
        <v>16</v>
      </c>
      <c r="E44" t="s">
        <v>17</v>
      </c>
      <c r="F44" s="1">
        <v>41067</v>
      </c>
      <c r="G44">
        <v>994022214</v>
      </c>
      <c r="H44" s="1">
        <v>41127</v>
      </c>
      <c r="I44">
        <v>2117</v>
      </c>
      <c r="J44">
        <v>205.7</v>
      </c>
      <c r="K44">
        <v>117.11</v>
      </c>
      <c r="L44">
        <v>435466.9</v>
      </c>
      <c r="M44">
        <v>247921.87</v>
      </c>
      <c r="N44">
        <v>187545.03</v>
      </c>
    </row>
    <row r="45" spans="1:14" x14ac:dyDescent="0.45">
      <c r="A45" t="s">
        <v>23</v>
      </c>
      <c r="B45" t="s">
        <v>75</v>
      </c>
      <c r="C45" t="s">
        <v>36</v>
      </c>
      <c r="D45" t="s">
        <v>21</v>
      </c>
      <c r="E45" t="s">
        <v>17</v>
      </c>
      <c r="F45" s="1">
        <v>41188</v>
      </c>
      <c r="G45">
        <v>759224212</v>
      </c>
      <c r="H45" s="1">
        <v>41193</v>
      </c>
      <c r="I45">
        <v>171</v>
      </c>
      <c r="J45">
        <v>154.06</v>
      </c>
      <c r="K45">
        <v>90.93</v>
      </c>
      <c r="L45">
        <v>26344.26</v>
      </c>
      <c r="M45">
        <v>15549.03</v>
      </c>
      <c r="N45">
        <v>10795.23</v>
      </c>
    </row>
    <row r="46" spans="1:14" x14ac:dyDescent="0.45">
      <c r="A46" t="s">
        <v>40</v>
      </c>
      <c r="B46" t="s">
        <v>67</v>
      </c>
      <c r="C46" t="s">
        <v>43</v>
      </c>
      <c r="D46" t="s">
        <v>21</v>
      </c>
      <c r="E46" t="s">
        <v>17</v>
      </c>
      <c r="F46" s="1">
        <v>42322</v>
      </c>
      <c r="G46">
        <v>223359620</v>
      </c>
      <c r="H46" s="1">
        <v>42326</v>
      </c>
      <c r="I46">
        <v>5930</v>
      </c>
      <c r="J46">
        <v>109.28</v>
      </c>
      <c r="K46">
        <v>35.840000000000003</v>
      </c>
      <c r="L46">
        <v>648030.4</v>
      </c>
      <c r="M46">
        <v>212531.20000000001</v>
      </c>
      <c r="N46">
        <v>435499.2</v>
      </c>
    </row>
    <row r="47" spans="1:14" x14ac:dyDescent="0.45">
      <c r="A47" t="s">
        <v>27</v>
      </c>
      <c r="B47" t="s">
        <v>76</v>
      </c>
      <c r="C47" t="s">
        <v>20</v>
      </c>
      <c r="D47" t="s">
        <v>16</v>
      </c>
      <c r="E47" t="s">
        <v>17</v>
      </c>
      <c r="F47" s="1">
        <v>42458</v>
      </c>
      <c r="G47">
        <v>902102267</v>
      </c>
      <c r="H47" s="1">
        <v>42489</v>
      </c>
      <c r="I47">
        <v>962</v>
      </c>
      <c r="J47">
        <v>205.7</v>
      </c>
      <c r="K47">
        <v>117.11</v>
      </c>
      <c r="L47">
        <v>197883.4</v>
      </c>
      <c r="M47">
        <v>112659.82</v>
      </c>
      <c r="N47">
        <v>85223.58</v>
      </c>
    </row>
    <row r="48" spans="1:14" x14ac:dyDescent="0.45">
      <c r="A48" t="s">
        <v>23</v>
      </c>
      <c r="B48" t="s">
        <v>77</v>
      </c>
      <c r="C48" t="s">
        <v>49</v>
      </c>
      <c r="D48" t="s">
        <v>21</v>
      </c>
      <c r="E48" t="s">
        <v>22</v>
      </c>
      <c r="F48" s="1">
        <v>42735</v>
      </c>
      <c r="G48">
        <v>331438481</v>
      </c>
      <c r="H48" s="1">
        <v>42735</v>
      </c>
      <c r="I48">
        <v>8867</v>
      </c>
      <c r="J48">
        <v>437.2</v>
      </c>
      <c r="K48">
        <v>263.33</v>
      </c>
      <c r="L48">
        <v>3876652.4</v>
      </c>
      <c r="M48">
        <v>2334947.11</v>
      </c>
      <c r="N48">
        <v>1541705.29</v>
      </c>
    </row>
    <row r="49" spans="1:14" x14ac:dyDescent="0.45">
      <c r="A49" t="s">
        <v>23</v>
      </c>
      <c r="B49" t="s">
        <v>64</v>
      </c>
      <c r="C49" t="s">
        <v>38</v>
      </c>
      <c r="D49" t="s">
        <v>21</v>
      </c>
      <c r="E49" t="s">
        <v>34</v>
      </c>
      <c r="F49" s="1">
        <v>40535</v>
      </c>
      <c r="G49">
        <v>617667090</v>
      </c>
      <c r="H49" s="1">
        <v>40574</v>
      </c>
      <c r="I49">
        <v>273</v>
      </c>
      <c r="J49">
        <v>81.73</v>
      </c>
      <c r="K49">
        <v>56.67</v>
      </c>
      <c r="L49">
        <v>22312.29</v>
      </c>
      <c r="M49">
        <v>15470.91</v>
      </c>
      <c r="N49">
        <v>6841.38</v>
      </c>
    </row>
    <row r="50" spans="1:14" x14ac:dyDescent="0.45">
      <c r="A50" t="s">
        <v>23</v>
      </c>
      <c r="B50" t="s">
        <v>78</v>
      </c>
      <c r="C50" t="s">
        <v>43</v>
      </c>
      <c r="D50" t="s">
        <v>16</v>
      </c>
      <c r="E50" t="s">
        <v>22</v>
      </c>
      <c r="F50" s="1">
        <v>41926</v>
      </c>
      <c r="G50">
        <v>787399423</v>
      </c>
      <c r="H50" s="1">
        <v>41957</v>
      </c>
      <c r="I50">
        <v>7842</v>
      </c>
      <c r="J50">
        <v>109.28</v>
      </c>
      <c r="K50">
        <v>35.840000000000003</v>
      </c>
      <c r="L50">
        <v>856973.76</v>
      </c>
      <c r="M50">
        <v>281057.28000000003</v>
      </c>
      <c r="N50">
        <v>575916.48</v>
      </c>
    </row>
    <row r="51" spans="1:14" x14ac:dyDescent="0.45">
      <c r="A51" t="s">
        <v>27</v>
      </c>
      <c r="B51" t="s">
        <v>79</v>
      </c>
      <c r="C51" t="s">
        <v>25</v>
      </c>
      <c r="D51" t="s">
        <v>16</v>
      </c>
      <c r="E51" t="s">
        <v>22</v>
      </c>
      <c r="F51" s="1">
        <v>40919</v>
      </c>
      <c r="G51">
        <v>837559306</v>
      </c>
      <c r="H51" s="1">
        <v>40921</v>
      </c>
      <c r="I51">
        <v>1266</v>
      </c>
      <c r="J51">
        <v>651.21</v>
      </c>
      <c r="K51">
        <v>524.96</v>
      </c>
      <c r="L51">
        <v>824431.86</v>
      </c>
      <c r="M51">
        <v>664599.36</v>
      </c>
      <c r="N51">
        <v>159832.5</v>
      </c>
    </row>
    <row r="52" spans="1:14" x14ac:dyDescent="0.45">
      <c r="A52" t="s">
        <v>23</v>
      </c>
      <c r="B52" t="s">
        <v>80</v>
      </c>
      <c r="C52" t="s">
        <v>43</v>
      </c>
      <c r="D52" t="s">
        <v>21</v>
      </c>
      <c r="E52" t="s">
        <v>22</v>
      </c>
      <c r="F52" s="1">
        <v>40211</v>
      </c>
      <c r="G52">
        <v>385383069</v>
      </c>
      <c r="H52" s="1">
        <v>40255</v>
      </c>
      <c r="I52">
        <v>2269</v>
      </c>
      <c r="J52">
        <v>109.28</v>
      </c>
      <c r="K52">
        <v>35.840000000000003</v>
      </c>
      <c r="L52">
        <v>247956.32</v>
      </c>
      <c r="M52">
        <v>81320.960000000006</v>
      </c>
      <c r="N52">
        <v>166635.35999999999</v>
      </c>
    </row>
    <row r="53" spans="1:14" x14ac:dyDescent="0.45">
      <c r="A53" t="s">
        <v>27</v>
      </c>
      <c r="B53" t="s">
        <v>81</v>
      </c>
      <c r="C53" t="s">
        <v>29</v>
      </c>
      <c r="D53" t="s">
        <v>21</v>
      </c>
      <c r="E53" t="s">
        <v>26</v>
      </c>
      <c r="F53" s="1">
        <v>41504</v>
      </c>
      <c r="G53">
        <v>918419539</v>
      </c>
      <c r="H53" s="1">
        <v>41535</v>
      </c>
      <c r="I53">
        <v>9606</v>
      </c>
      <c r="J53">
        <v>9.33</v>
      </c>
      <c r="K53">
        <v>6.92</v>
      </c>
      <c r="L53">
        <v>89623.98</v>
      </c>
      <c r="M53">
        <v>66473.52</v>
      </c>
      <c r="N53">
        <v>23150.46</v>
      </c>
    </row>
    <row r="54" spans="1:14" x14ac:dyDescent="0.45">
      <c r="A54" t="s">
        <v>70</v>
      </c>
      <c r="B54" t="s">
        <v>82</v>
      </c>
      <c r="C54" t="s">
        <v>20</v>
      </c>
      <c r="D54" t="s">
        <v>21</v>
      </c>
      <c r="E54" t="s">
        <v>34</v>
      </c>
      <c r="F54" s="1">
        <v>41358</v>
      </c>
      <c r="G54">
        <v>844530045</v>
      </c>
      <c r="H54" s="1">
        <v>41361</v>
      </c>
      <c r="I54">
        <v>4063</v>
      </c>
      <c r="J54">
        <v>205.7</v>
      </c>
      <c r="K54">
        <v>117.11</v>
      </c>
      <c r="L54">
        <v>835759.1</v>
      </c>
      <c r="M54">
        <v>475817.93</v>
      </c>
      <c r="N54">
        <v>359941.17</v>
      </c>
    </row>
    <row r="55" spans="1:14" x14ac:dyDescent="0.45">
      <c r="A55" t="s">
        <v>27</v>
      </c>
      <c r="B55" t="s">
        <v>83</v>
      </c>
      <c r="C55" t="s">
        <v>25</v>
      </c>
      <c r="D55" t="s">
        <v>16</v>
      </c>
      <c r="E55" t="s">
        <v>34</v>
      </c>
      <c r="F55" s="1">
        <v>40873</v>
      </c>
      <c r="G55">
        <v>441888415</v>
      </c>
      <c r="H55" s="1">
        <v>41091</v>
      </c>
      <c r="I55">
        <v>3457</v>
      </c>
      <c r="J55">
        <v>651.21</v>
      </c>
      <c r="K55">
        <v>524.96</v>
      </c>
      <c r="L55">
        <v>2251232.9700000002</v>
      </c>
      <c r="M55">
        <v>1814786.72</v>
      </c>
      <c r="N55">
        <v>436446.25</v>
      </c>
    </row>
    <row r="56" spans="1:14" x14ac:dyDescent="0.45">
      <c r="A56" t="s">
        <v>27</v>
      </c>
      <c r="B56" t="s">
        <v>28</v>
      </c>
      <c r="C56" t="s">
        <v>29</v>
      </c>
      <c r="D56" t="s">
        <v>16</v>
      </c>
      <c r="E56" t="s">
        <v>17</v>
      </c>
      <c r="F56" s="1">
        <v>41534</v>
      </c>
      <c r="G56">
        <v>508980977</v>
      </c>
      <c r="H56" s="1">
        <v>41571</v>
      </c>
      <c r="I56">
        <v>7637</v>
      </c>
      <c r="J56">
        <v>9.33</v>
      </c>
      <c r="K56">
        <v>6.92</v>
      </c>
      <c r="L56">
        <v>71253.210000000006</v>
      </c>
      <c r="M56">
        <v>52848.04</v>
      </c>
      <c r="N56">
        <v>18405.169999999998</v>
      </c>
    </row>
    <row r="57" spans="1:14" x14ac:dyDescent="0.45">
      <c r="A57" t="s">
        <v>27</v>
      </c>
      <c r="B57" t="s">
        <v>84</v>
      </c>
      <c r="C57" t="s">
        <v>43</v>
      </c>
      <c r="D57" t="s">
        <v>21</v>
      </c>
      <c r="E57" t="s">
        <v>22</v>
      </c>
      <c r="F57" s="1">
        <v>41068</v>
      </c>
      <c r="G57">
        <v>114606559</v>
      </c>
      <c r="H57" s="1">
        <v>41087</v>
      </c>
      <c r="I57">
        <v>3482</v>
      </c>
      <c r="J57">
        <v>109.28</v>
      </c>
      <c r="K57">
        <v>35.840000000000003</v>
      </c>
      <c r="L57">
        <v>380512.96</v>
      </c>
      <c r="M57">
        <v>124794.88</v>
      </c>
      <c r="N57">
        <v>255718.08</v>
      </c>
    </row>
    <row r="58" spans="1:14" x14ac:dyDescent="0.45">
      <c r="A58" t="s">
        <v>13</v>
      </c>
      <c r="B58" t="s">
        <v>85</v>
      </c>
      <c r="C58" t="s">
        <v>43</v>
      </c>
      <c r="D58" t="s">
        <v>16</v>
      </c>
      <c r="E58" t="s">
        <v>22</v>
      </c>
      <c r="F58" s="1">
        <v>40359</v>
      </c>
      <c r="G58">
        <v>647876489</v>
      </c>
      <c r="H58" s="1">
        <v>40186</v>
      </c>
      <c r="I58">
        <v>9905</v>
      </c>
      <c r="J58">
        <v>109.28</v>
      </c>
      <c r="K58">
        <v>35.840000000000003</v>
      </c>
      <c r="L58">
        <v>1082418.3999999999</v>
      </c>
      <c r="M58">
        <v>354995.20000000001</v>
      </c>
      <c r="N58">
        <v>727423.2</v>
      </c>
    </row>
    <row r="59" spans="1:14" x14ac:dyDescent="0.45">
      <c r="A59" t="s">
        <v>23</v>
      </c>
      <c r="B59" t="s">
        <v>86</v>
      </c>
      <c r="C59" t="s">
        <v>49</v>
      </c>
      <c r="D59" t="s">
        <v>16</v>
      </c>
      <c r="E59" t="s">
        <v>17</v>
      </c>
      <c r="F59" s="1">
        <v>42058</v>
      </c>
      <c r="G59">
        <v>868214595</v>
      </c>
      <c r="H59" s="1">
        <v>42038</v>
      </c>
      <c r="I59">
        <v>2847</v>
      </c>
      <c r="J59">
        <v>437.2</v>
      </c>
      <c r="K59">
        <v>263.33</v>
      </c>
      <c r="L59">
        <v>1244708.3999999999</v>
      </c>
      <c r="M59">
        <v>749700.51</v>
      </c>
      <c r="N59">
        <v>495007.89</v>
      </c>
    </row>
    <row r="60" spans="1:14" x14ac:dyDescent="0.45">
      <c r="A60" t="s">
        <v>23</v>
      </c>
      <c r="B60" t="s">
        <v>87</v>
      </c>
      <c r="C60" t="s">
        <v>33</v>
      </c>
      <c r="D60" t="s">
        <v>21</v>
      </c>
      <c r="E60" t="s">
        <v>26</v>
      </c>
      <c r="F60" s="1">
        <v>40913</v>
      </c>
      <c r="G60">
        <v>955357205</v>
      </c>
      <c r="H60" s="1">
        <v>40953</v>
      </c>
      <c r="I60">
        <v>282</v>
      </c>
      <c r="J60">
        <v>668.27</v>
      </c>
      <c r="K60">
        <v>502.54</v>
      </c>
      <c r="L60">
        <v>188452.14</v>
      </c>
      <c r="M60">
        <v>141716.28</v>
      </c>
      <c r="N60">
        <v>46735.86</v>
      </c>
    </row>
    <row r="61" spans="1:14" x14ac:dyDescent="0.45">
      <c r="A61" t="s">
        <v>27</v>
      </c>
      <c r="B61" t="s">
        <v>68</v>
      </c>
      <c r="C61" t="s">
        <v>49</v>
      </c>
      <c r="D61" t="s">
        <v>16</v>
      </c>
      <c r="E61" t="s">
        <v>17</v>
      </c>
      <c r="F61" s="1">
        <v>41736</v>
      </c>
      <c r="G61">
        <v>259353148</v>
      </c>
      <c r="H61" s="1">
        <v>41748</v>
      </c>
      <c r="I61">
        <v>7215</v>
      </c>
      <c r="J61">
        <v>437.2</v>
      </c>
      <c r="K61">
        <v>263.33</v>
      </c>
      <c r="L61">
        <v>3154398</v>
      </c>
      <c r="M61">
        <v>1899925.95</v>
      </c>
      <c r="N61">
        <v>1254472.05</v>
      </c>
    </row>
    <row r="62" spans="1:14" x14ac:dyDescent="0.45">
      <c r="A62" t="s">
        <v>13</v>
      </c>
      <c r="B62" t="s">
        <v>66</v>
      </c>
      <c r="C62" t="s">
        <v>20</v>
      </c>
      <c r="D62" t="s">
        <v>16</v>
      </c>
      <c r="E62" t="s">
        <v>17</v>
      </c>
      <c r="F62" s="1">
        <v>41434</v>
      </c>
      <c r="G62">
        <v>450563752</v>
      </c>
      <c r="H62" s="1">
        <v>41312</v>
      </c>
      <c r="I62">
        <v>682</v>
      </c>
      <c r="J62">
        <v>205.7</v>
      </c>
      <c r="K62">
        <v>117.11</v>
      </c>
      <c r="L62">
        <v>140287.4</v>
      </c>
      <c r="M62">
        <v>79869.02</v>
      </c>
      <c r="N62">
        <v>60418.38</v>
      </c>
    </row>
    <row r="63" spans="1:14" x14ac:dyDescent="0.45">
      <c r="A63" t="s">
        <v>23</v>
      </c>
      <c r="B63" t="s">
        <v>88</v>
      </c>
      <c r="C63" t="s">
        <v>15</v>
      </c>
      <c r="D63" t="s">
        <v>21</v>
      </c>
      <c r="E63" t="s">
        <v>26</v>
      </c>
      <c r="F63" s="1">
        <v>41451</v>
      </c>
      <c r="G63">
        <v>569662845</v>
      </c>
      <c r="H63" s="1">
        <v>41281</v>
      </c>
      <c r="I63">
        <v>4750</v>
      </c>
      <c r="J63">
        <v>255.28</v>
      </c>
      <c r="K63">
        <v>159.41999999999999</v>
      </c>
      <c r="L63">
        <v>1212580</v>
      </c>
      <c r="M63">
        <v>757245</v>
      </c>
      <c r="N63">
        <v>455335</v>
      </c>
    </row>
    <row r="64" spans="1:14" x14ac:dyDescent="0.45">
      <c r="A64" t="s">
        <v>27</v>
      </c>
      <c r="B64" t="s">
        <v>50</v>
      </c>
      <c r="C64" t="s">
        <v>25</v>
      </c>
      <c r="D64" t="s">
        <v>21</v>
      </c>
      <c r="E64" t="s">
        <v>34</v>
      </c>
      <c r="F64" s="1">
        <v>40854</v>
      </c>
      <c r="G64">
        <v>177636754</v>
      </c>
      <c r="H64" s="1">
        <v>40862</v>
      </c>
      <c r="I64">
        <v>5518</v>
      </c>
      <c r="J64">
        <v>651.21</v>
      </c>
      <c r="K64">
        <v>524.96</v>
      </c>
      <c r="L64">
        <v>3593376.78</v>
      </c>
      <c r="M64">
        <v>2896729.28</v>
      </c>
      <c r="N64">
        <v>696647.5</v>
      </c>
    </row>
    <row r="65" spans="1:14" x14ac:dyDescent="0.45">
      <c r="A65" t="s">
        <v>70</v>
      </c>
      <c r="B65" t="s">
        <v>89</v>
      </c>
      <c r="C65" t="s">
        <v>43</v>
      </c>
      <c r="D65" t="s">
        <v>16</v>
      </c>
      <c r="E65" t="s">
        <v>17</v>
      </c>
      <c r="F65" s="1">
        <v>40481</v>
      </c>
      <c r="G65">
        <v>705784308</v>
      </c>
      <c r="H65" s="1">
        <v>40499</v>
      </c>
      <c r="I65">
        <v>6116</v>
      </c>
      <c r="J65">
        <v>109.28</v>
      </c>
      <c r="K65">
        <v>35.840000000000003</v>
      </c>
      <c r="L65">
        <v>668356.48</v>
      </c>
      <c r="M65">
        <v>219197.44</v>
      </c>
      <c r="N65">
        <v>449159.04</v>
      </c>
    </row>
    <row r="66" spans="1:14" x14ac:dyDescent="0.45">
      <c r="A66" t="s">
        <v>18</v>
      </c>
      <c r="B66" t="s">
        <v>90</v>
      </c>
      <c r="C66" t="s">
        <v>49</v>
      </c>
      <c r="D66" t="s">
        <v>16</v>
      </c>
      <c r="E66" t="s">
        <v>17</v>
      </c>
      <c r="F66" s="1">
        <v>41560</v>
      </c>
      <c r="G66">
        <v>505716836</v>
      </c>
      <c r="H66" s="1">
        <v>41594</v>
      </c>
      <c r="I66">
        <v>1705</v>
      </c>
      <c r="J66">
        <v>437.2</v>
      </c>
      <c r="K66">
        <v>263.33</v>
      </c>
      <c r="L66">
        <v>745426</v>
      </c>
      <c r="M66">
        <v>448977.65</v>
      </c>
      <c r="N66">
        <v>296448.34999999998</v>
      </c>
    </row>
    <row r="67" spans="1:14" x14ac:dyDescent="0.45">
      <c r="A67" t="s">
        <v>27</v>
      </c>
      <c r="B67" t="s">
        <v>30</v>
      </c>
      <c r="C67" t="s">
        <v>49</v>
      </c>
      <c r="D67" t="s">
        <v>16</v>
      </c>
      <c r="E67" t="s">
        <v>17</v>
      </c>
      <c r="F67" s="1">
        <v>41558</v>
      </c>
      <c r="G67">
        <v>699358165</v>
      </c>
      <c r="H67" s="1">
        <v>41603</v>
      </c>
      <c r="I67">
        <v>4477</v>
      </c>
      <c r="J67">
        <v>437.2</v>
      </c>
      <c r="K67">
        <v>263.33</v>
      </c>
      <c r="L67">
        <v>1957344.4</v>
      </c>
      <c r="M67">
        <v>1178928.4099999999</v>
      </c>
      <c r="N67">
        <v>778415.99</v>
      </c>
    </row>
    <row r="68" spans="1:14" x14ac:dyDescent="0.45">
      <c r="A68" t="s">
        <v>27</v>
      </c>
      <c r="B68" t="s">
        <v>91</v>
      </c>
      <c r="C68" t="s">
        <v>38</v>
      </c>
      <c r="D68" t="s">
        <v>16</v>
      </c>
      <c r="E68" t="s">
        <v>26</v>
      </c>
      <c r="F68" s="1">
        <v>41098</v>
      </c>
      <c r="G68">
        <v>228944623</v>
      </c>
      <c r="H68" s="1">
        <v>41159</v>
      </c>
      <c r="I68">
        <v>8656</v>
      </c>
      <c r="J68">
        <v>81.73</v>
      </c>
      <c r="K68">
        <v>56.67</v>
      </c>
      <c r="L68">
        <v>707454.88</v>
      </c>
      <c r="M68">
        <v>490535.52</v>
      </c>
      <c r="N68">
        <v>216919.36</v>
      </c>
    </row>
    <row r="69" spans="1:14" x14ac:dyDescent="0.45">
      <c r="A69" t="s">
        <v>18</v>
      </c>
      <c r="B69" t="s">
        <v>92</v>
      </c>
      <c r="C69" t="s">
        <v>43</v>
      </c>
      <c r="D69" t="s">
        <v>16</v>
      </c>
      <c r="E69" t="s">
        <v>34</v>
      </c>
      <c r="F69" s="1">
        <v>42576</v>
      </c>
      <c r="G69">
        <v>807025039</v>
      </c>
      <c r="H69" s="1">
        <v>42560</v>
      </c>
      <c r="I69">
        <v>5498</v>
      </c>
      <c r="J69">
        <v>109.28</v>
      </c>
      <c r="K69">
        <v>35.840000000000003</v>
      </c>
      <c r="L69">
        <v>600821.43999999994</v>
      </c>
      <c r="M69">
        <v>197048.32000000001</v>
      </c>
      <c r="N69">
        <v>403773.12</v>
      </c>
    </row>
    <row r="70" spans="1:14" x14ac:dyDescent="0.45">
      <c r="A70" t="s">
        <v>23</v>
      </c>
      <c r="B70" t="s">
        <v>93</v>
      </c>
      <c r="C70" t="s">
        <v>25</v>
      </c>
      <c r="D70" t="s">
        <v>16</v>
      </c>
      <c r="E70" t="s">
        <v>17</v>
      </c>
      <c r="F70" s="1">
        <v>40475</v>
      </c>
      <c r="G70">
        <v>166460740</v>
      </c>
      <c r="H70" s="1">
        <v>40499</v>
      </c>
      <c r="I70">
        <v>8287</v>
      </c>
      <c r="J70">
        <v>651.21</v>
      </c>
      <c r="K70">
        <v>524.96</v>
      </c>
      <c r="L70">
        <v>5396577.2699999996</v>
      </c>
      <c r="M70">
        <v>4350343.5199999996</v>
      </c>
      <c r="N70">
        <v>1046233.75</v>
      </c>
    </row>
    <row r="71" spans="1:14" x14ac:dyDescent="0.45">
      <c r="A71" t="s">
        <v>27</v>
      </c>
      <c r="B71" t="s">
        <v>94</v>
      </c>
      <c r="C71" t="s">
        <v>43</v>
      </c>
      <c r="D71" t="s">
        <v>16</v>
      </c>
      <c r="E71" t="s">
        <v>26</v>
      </c>
      <c r="F71" s="1">
        <v>42119</v>
      </c>
      <c r="G71">
        <v>610425555</v>
      </c>
      <c r="H71" s="1">
        <v>42152</v>
      </c>
      <c r="I71">
        <v>7342</v>
      </c>
      <c r="J71">
        <v>109.28</v>
      </c>
      <c r="K71">
        <v>35.840000000000003</v>
      </c>
      <c r="L71">
        <v>802333.76</v>
      </c>
      <c r="M71">
        <v>263137.28000000003</v>
      </c>
      <c r="N71">
        <v>539196.48</v>
      </c>
    </row>
    <row r="72" spans="1:14" x14ac:dyDescent="0.45">
      <c r="A72" t="s">
        <v>40</v>
      </c>
      <c r="B72" t="s">
        <v>52</v>
      </c>
      <c r="C72" t="s">
        <v>25</v>
      </c>
      <c r="D72" t="s">
        <v>21</v>
      </c>
      <c r="E72" t="s">
        <v>34</v>
      </c>
      <c r="F72" s="1">
        <v>41387</v>
      </c>
      <c r="G72">
        <v>462405812</v>
      </c>
      <c r="H72" s="1">
        <v>41414</v>
      </c>
      <c r="I72">
        <v>5010</v>
      </c>
      <c r="J72">
        <v>651.21</v>
      </c>
      <c r="K72">
        <v>524.96</v>
      </c>
      <c r="L72">
        <v>3262562.1</v>
      </c>
      <c r="M72">
        <v>2630049.6</v>
      </c>
      <c r="N72">
        <v>632512.5</v>
      </c>
    </row>
    <row r="73" spans="1:14" x14ac:dyDescent="0.45">
      <c r="A73" t="s">
        <v>70</v>
      </c>
      <c r="B73" t="s">
        <v>89</v>
      </c>
      <c r="C73" t="s">
        <v>29</v>
      </c>
      <c r="D73" t="s">
        <v>21</v>
      </c>
      <c r="E73" t="s">
        <v>26</v>
      </c>
      <c r="F73" s="1">
        <v>42230</v>
      </c>
      <c r="G73">
        <v>816200339</v>
      </c>
      <c r="H73" s="1">
        <v>42277</v>
      </c>
      <c r="I73">
        <v>673</v>
      </c>
      <c r="J73">
        <v>9.33</v>
      </c>
      <c r="K73">
        <v>6.92</v>
      </c>
      <c r="L73">
        <v>6279.09</v>
      </c>
      <c r="M73">
        <v>4657.16</v>
      </c>
      <c r="N73">
        <v>1621.93</v>
      </c>
    </row>
    <row r="74" spans="1:14" x14ac:dyDescent="0.45">
      <c r="A74" t="s">
        <v>27</v>
      </c>
      <c r="B74" t="s">
        <v>95</v>
      </c>
      <c r="C74" t="s">
        <v>51</v>
      </c>
      <c r="D74" t="s">
        <v>21</v>
      </c>
      <c r="E74" t="s">
        <v>22</v>
      </c>
      <c r="F74" s="1">
        <v>40689</v>
      </c>
      <c r="G74">
        <v>585920464</v>
      </c>
      <c r="H74" s="1">
        <v>40739</v>
      </c>
      <c r="I74">
        <v>5741</v>
      </c>
      <c r="J74">
        <v>47.45</v>
      </c>
      <c r="K74">
        <v>31.79</v>
      </c>
      <c r="L74">
        <v>272410.45</v>
      </c>
      <c r="M74">
        <v>182506.39</v>
      </c>
      <c r="N74">
        <v>89904.06</v>
      </c>
    </row>
    <row r="75" spans="1:14" x14ac:dyDescent="0.45">
      <c r="A75" t="s">
        <v>27</v>
      </c>
      <c r="B75" t="s">
        <v>68</v>
      </c>
      <c r="C75" t="s">
        <v>20</v>
      </c>
      <c r="D75" t="s">
        <v>21</v>
      </c>
      <c r="E75" t="s">
        <v>17</v>
      </c>
      <c r="F75" s="1">
        <v>42875</v>
      </c>
      <c r="G75">
        <v>555990016</v>
      </c>
      <c r="H75" s="1">
        <v>42903</v>
      </c>
      <c r="I75">
        <v>8656</v>
      </c>
      <c r="J75">
        <v>205.7</v>
      </c>
      <c r="K75">
        <v>117.11</v>
      </c>
      <c r="L75">
        <v>1780539.2</v>
      </c>
      <c r="M75">
        <v>1013704.16</v>
      </c>
      <c r="N75">
        <v>766835.04</v>
      </c>
    </row>
    <row r="76" spans="1:14" x14ac:dyDescent="0.45">
      <c r="A76" t="s">
        <v>70</v>
      </c>
      <c r="B76" t="s">
        <v>96</v>
      </c>
      <c r="C76" t="s">
        <v>49</v>
      </c>
      <c r="D76" t="s">
        <v>16</v>
      </c>
      <c r="E76" t="s">
        <v>26</v>
      </c>
      <c r="F76" s="1">
        <v>41460</v>
      </c>
      <c r="G76">
        <v>231145322</v>
      </c>
      <c r="H76" s="1">
        <v>41502</v>
      </c>
      <c r="I76">
        <v>9892</v>
      </c>
      <c r="J76">
        <v>437.2</v>
      </c>
      <c r="K76">
        <v>263.33</v>
      </c>
      <c r="L76">
        <v>4324782.4000000004</v>
      </c>
      <c r="M76">
        <v>2604860.36</v>
      </c>
      <c r="N76">
        <v>1719922.04</v>
      </c>
    </row>
    <row r="77" spans="1:14" x14ac:dyDescent="0.45">
      <c r="A77" t="s">
        <v>97</v>
      </c>
      <c r="B77" t="s">
        <v>98</v>
      </c>
      <c r="C77" t="s">
        <v>33</v>
      </c>
      <c r="D77" t="s">
        <v>16</v>
      </c>
      <c r="E77" t="s">
        <v>22</v>
      </c>
      <c r="F77" s="1">
        <v>41949</v>
      </c>
      <c r="G77">
        <v>986435210</v>
      </c>
      <c r="H77" s="1">
        <v>41985</v>
      </c>
      <c r="I77">
        <v>6954</v>
      </c>
      <c r="J77">
        <v>668.27</v>
      </c>
      <c r="K77">
        <v>502.54</v>
      </c>
      <c r="L77">
        <v>4647149.58</v>
      </c>
      <c r="M77">
        <v>3494663.16</v>
      </c>
      <c r="N77">
        <v>1152486.42</v>
      </c>
    </row>
    <row r="78" spans="1:14" x14ac:dyDescent="0.45">
      <c r="A78" t="s">
        <v>13</v>
      </c>
      <c r="B78" t="s">
        <v>99</v>
      </c>
      <c r="C78" t="s">
        <v>51</v>
      </c>
      <c r="D78" t="s">
        <v>21</v>
      </c>
      <c r="E78" t="s">
        <v>22</v>
      </c>
      <c r="F78" s="1">
        <v>41940</v>
      </c>
      <c r="G78">
        <v>217221009</v>
      </c>
      <c r="H78" s="1">
        <v>41958</v>
      </c>
      <c r="I78">
        <v>9379</v>
      </c>
      <c r="J78">
        <v>47.45</v>
      </c>
      <c r="K78">
        <v>31.79</v>
      </c>
      <c r="L78">
        <v>445033.55</v>
      </c>
      <c r="M78">
        <v>298158.40999999997</v>
      </c>
      <c r="N78">
        <v>146875.14000000001</v>
      </c>
    </row>
    <row r="79" spans="1:14" x14ac:dyDescent="0.45">
      <c r="A79" t="s">
        <v>40</v>
      </c>
      <c r="B79" t="s">
        <v>100</v>
      </c>
      <c r="C79" t="s">
        <v>36</v>
      </c>
      <c r="D79" t="s">
        <v>16</v>
      </c>
      <c r="E79" t="s">
        <v>22</v>
      </c>
      <c r="F79" s="1">
        <v>40801</v>
      </c>
      <c r="G79">
        <v>789176547</v>
      </c>
      <c r="H79" s="1">
        <v>40839</v>
      </c>
      <c r="I79">
        <v>3732</v>
      </c>
      <c r="J79">
        <v>154.06</v>
      </c>
      <c r="K79">
        <v>90.93</v>
      </c>
      <c r="L79">
        <v>574951.92000000004</v>
      </c>
      <c r="M79">
        <v>339350.76</v>
      </c>
      <c r="N79">
        <v>235601.16</v>
      </c>
    </row>
    <row r="80" spans="1:14" x14ac:dyDescent="0.45">
      <c r="A80" t="s">
        <v>23</v>
      </c>
      <c r="B80" t="s">
        <v>101</v>
      </c>
      <c r="C80" t="s">
        <v>15</v>
      </c>
      <c r="D80" t="s">
        <v>16</v>
      </c>
      <c r="E80" t="s">
        <v>17</v>
      </c>
      <c r="F80" s="1">
        <v>41058</v>
      </c>
      <c r="G80">
        <v>688288152</v>
      </c>
      <c r="H80" s="1">
        <v>40945</v>
      </c>
      <c r="I80">
        <v>8614</v>
      </c>
      <c r="J80">
        <v>255.28</v>
      </c>
      <c r="K80">
        <v>159.41999999999999</v>
      </c>
      <c r="L80">
        <v>2198981.92</v>
      </c>
      <c r="M80">
        <v>1373243.88</v>
      </c>
      <c r="N80">
        <v>825738.04</v>
      </c>
    </row>
    <row r="81" spans="1:14" x14ac:dyDescent="0.45">
      <c r="A81" t="s">
        <v>13</v>
      </c>
      <c r="B81" t="s">
        <v>102</v>
      </c>
      <c r="C81" t="s">
        <v>49</v>
      </c>
      <c r="D81" t="s">
        <v>21</v>
      </c>
      <c r="E81" t="s">
        <v>17</v>
      </c>
      <c r="F81" s="1">
        <v>41475</v>
      </c>
      <c r="G81">
        <v>670854651</v>
      </c>
      <c r="H81" s="1">
        <v>41463</v>
      </c>
      <c r="I81">
        <v>9654</v>
      </c>
      <c r="J81">
        <v>437.2</v>
      </c>
      <c r="K81">
        <v>263.33</v>
      </c>
      <c r="L81">
        <v>4220728.8</v>
      </c>
      <c r="M81">
        <v>2542187.8199999998</v>
      </c>
      <c r="N81">
        <v>1678540.98</v>
      </c>
    </row>
    <row r="82" spans="1:14" x14ac:dyDescent="0.45">
      <c r="A82" t="s">
        <v>23</v>
      </c>
      <c r="B82" t="s">
        <v>103</v>
      </c>
      <c r="C82" t="s">
        <v>33</v>
      </c>
      <c r="D82" t="s">
        <v>16</v>
      </c>
      <c r="E82" t="s">
        <v>26</v>
      </c>
      <c r="F82" s="1">
        <v>41203</v>
      </c>
      <c r="G82">
        <v>213487374</v>
      </c>
      <c r="H82" s="1">
        <v>41243</v>
      </c>
      <c r="I82">
        <v>4513</v>
      </c>
      <c r="J82">
        <v>668.27</v>
      </c>
      <c r="K82">
        <v>502.54</v>
      </c>
      <c r="L82">
        <v>3015902.51</v>
      </c>
      <c r="M82">
        <v>2267963.02</v>
      </c>
      <c r="N82">
        <v>747939.49</v>
      </c>
    </row>
    <row r="83" spans="1:14" x14ac:dyDescent="0.45">
      <c r="A83" t="s">
        <v>70</v>
      </c>
      <c r="B83" t="s">
        <v>104</v>
      </c>
      <c r="C83" t="s">
        <v>43</v>
      </c>
      <c r="D83" t="s">
        <v>21</v>
      </c>
      <c r="E83" t="s">
        <v>26</v>
      </c>
      <c r="F83" s="1">
        <v>41170</v>
      </c>
      <c r="G83">
        <v>663110148</v>
      </c>
      <c r="H83" s="1">
        <v>41131</v>
      </c>
      <c r="I83">
        <v>7884</v>
      </c>
      <c r="J83">
        <v>109.28</v>
      </c>
      <c r="K83">
        <v>35.840000000000003</v>
      </c>
      <c r="L83">
        <v>861563.52</v>
      </c>
      <c r="M83">
        <v>282562.56</v>
      </c>
      <c r="N83">
        <v>579000.96</v>
      </c>
    </row>
    <row r="84" spans="1:14" x14ac:dyDescent="0.45">
      <c r="A84" t="s">
        <v>70</v>
      </c>
      <c r="B84" t="s">
        <v>105</v>
      </c>
      <c r="C84" t="s">
        <v>49</v>
      </c>
      <c r="D84" t="s">
        <v>21</v>
      </c>
      <c r="E84" t="s">
        <v>17</v>
      </c>
      <c r="F84" s="1">
        <v>42689</v>
      </c>
      <c r="G84">
        <v>286959302</v>
      </c>
      <c r="H84" s="1">
        <v>42594</v>
      </c>
      <c r="I84">
        <v>6489</v>
      </c>
      <c r="J84">
        <v>437.2</v>
      </c>
      <c r="K84">
        <v>263.33</v>
      </c>
      <c r="L84">
        <v>2836990.8</v>
      </c>
      <c r="M84">
        <v>1708748.37</v>
      </c>
      <c r="N84">
        <v>1128242.43</v>
      </c>
    </row>
    <row r="85" spans="1:14" x14ac:dyDescent="0.45">
      <c r="A85" t="s">
        <v>27</v>
      </c>
      <c r="B85" t="s">
        <v>106</v>
      </c>
      <c r="C85" t="s">
        <v>57</v>
      </c>
      <c r="D85" t="s">
        <v>21</v>
      </c>
      <c r="E85" t="s">
        <v>26</v>
      </c>
      <c r="F85" s="1">
        <v>40547</v>
      </c>
      <c r="G85">
        <v>122583663</v>
      </c>
      <c r="H85" s="1">
        <v>40664</v>
      </c>
      <c r="I85">
        <v>4085</v>
      </c>
      <c r="J85">
        <v>152.58000000000001</v>
      </c>
      <c r="K85">
        <v>97.44</v>
      </c>
      <c r="L85">
        <v>623289.30000000005</v>
      </c>
      <c r="M85">
        <v>398042.4</v>
      </c>
      <c r="N85">
        <v>225246.9</v>
      </c>
    </row>
    <row r="86" spans="1:14" x14ac:dyDescent="0.45">
      <c r="A86" t="s">
        <v>27</v>
      </c>
      <c r="B86" t="s">
        <v>107</v>
      </c>
      <c r="C86" t="s">
        <v>36</v>
      </c>
      <c r="D86" t="s">
        <v>21</v>
      </c>
      <c r="E86" t="s">
        <v>26</v>
      </c>
      <c r="F86" s="1">
        <v>40986</v>
      </c>
      <c r="G86">
        <v>827844560</v>
      </c>
      <c r="H86" s="1">
        <v>41094</v>
      </c>
      <c r="I86">
        <v>6457</v>
      </c>
      <c r="J86">
        <v>154.06</v>
      </c>
      <c r="K86">
        <v>90.93</v>
      </c>
      <c r="L86">
        <v>994765.42</v>
      </c>
      <c r="M86">
        <v>587135.01</v>
      </c>
      <c r="N86">
        <v>407630.41</v>
      </c>
    </row>
    <row r="87" spans="1:14" x14ac:dyDescent="0.45">
      <c r="A87" t="s">
        <v>97</v>
      </c>
      <c r="B87" t="s">
        <v>98</v>
      </c>
      <c r="C87" t="s">
        <v>38</v>
      </c>
      <c r="D87" t="s">
        <v>16</v>
      </c>
      <c r="E87" t="s">
        <v>26</v>
      </c>
      <c r="F87" s="1">
        <v>40956</v>
      </c>
      <c r="G87">
        <v>430915820</v>
      </c>
      <c r="H87" s="1">
        <v>40988</v>
      </c>
      <c r="I87">
        <v>6422</v>
      </c>
      <c r="J87">
        <v>81.73</v>
      </c>
      <c r="K87">
        <v>56.67</v>
      </c>
      <c r="L87">
        <v>524870.06000000006</v>
      </c>
      <c r="M87">
        <v>363934.74</v>
      </c>
      <c r="N87">
        <v>160935.32</v>
      </c>
    </row>
    <row r="88" spans="1:14" x14ac:dyDescent="0.45">
      <c r="A88" t="s">
        <v>27</v>
      </c>
      <c r="B88" t="s">
        <v>28</v>
      </c>
      <c r="C88" t="s">
        <v>51</v>
      </c>
      <c r="D88" t="s">
        <v>16</v>
      </c>
      <c r="E88" t="s">
        <v>22</v>
      </c>
      <c r="F88" s="1">
        <v>40559</v>
      </c>
      <c r="G88">
        <v>180283772</v>
      </c>
      <c r="H88" s="1">
        <v>40564</v>
      </c>
      <c r="I88">
        <v>8829</v>
      </c>
      <c r="J88">
        <v>47.45</v>
      </c>
      <c r="K88">
        <v>31.79</v>
      </c>
      <c r="L88">
        <v>418936.05</v>
      </c>
      <c r="M88">
        <v>280673.90999999997</v>
      </c>
      <c r="N88">
        <v>138262.14000000001</v>
      </c>
    </row>
    <row r="89" spans="1:14" x14ac:dyDescent="0.45">
      <c r="A89" t="s">
        <v>27</v>
      </c>
      <c r="B89" t="s">
        <v>63</v>
      </c>
      <c r="C89" t="s">
        <v>15</v>
      </c>
      <c r="D89" t="s">
        <v>16</v>
      </c>
      <c r="E89" t="s">
        <v>34</v>
      </c>
      <c r="F89" s="1">
        <v>41673</v>
      </c>
      <c r="G89">
        <v>494747245</v>
      </c>
      <c r="H89" s="1">
        <v>41718</v>
      </c>
      <c r="I89">
        <v>5559</v>
      </c>
      <c r="J89">
        <v>255.28</v>
      </c>
      <c r="K89">
        <v>159.41999999999999</v>
      </c>
      <c r="L89">
        <v>1419101.52</v>
      </c>
      <c r="M89">
        <v>886215.78</v>
      </c>
      <c r="N89">
        <v>532885.74</v>
      </c>
    </row>
    <row r="90" spans="1:14" x14ac:dyDescent="0.45">
      <c r="A90" t="s">
        <v>70</v>
      </c>
      <c r="B90" t="s">
        <v>108</v>
      </c>
      <c r="C90" t="s">
        <v>29</v>
      </c>
      <c r="D90" t="s">
        <v>21</v>
      </c>
      <c r="E90" t="s">
        <v>34</v>
      </c>
      <c r="F90" s="1">
        <v>41029</v>
      </c>
      <c r="G90">
        <v>513417565</v>
      </c>
      <c r="H90" s="1">
        <v>41047</v>
      </c>
      <c r="I90">
        <v>522</v>
      </c>
      <c r="J90">
        <v>9.33</v>
      </c>
      <c r="K90">
        <v>6.92</v>
      </c>
      <c r="L90">
        <v>4870.26</v>
      </c>
      <c r="M90">
        <v>3612.24</v>
      </c>
      <c r="N90">
        <v>1258.02</v>
      </c>
    </row>
    <row r="91" spans="1:14" x14ac:dyDescent="0.45">
      <c r="A91" t="s">
        <v>23</v>
      </c>
      <c r="B91" t="s">
        <v>109</v>
      </c>
      <c r="C91" t="s">
        <v>51</v>
      </c>
      <c r="D91" t="s">
        <v>16</v>
      </c>
      <c r="E91" t="s">
        <v>22</v>
      </c>
      <c r="F91" s="1">
        <v>42666</v>
      </c>
      <c r="G91">
        <v>345718562</v>
      </c>
      <c r="H91" s="1">
        <v>42699</v>
      </c>
      <c r="I91">
        <v>4660</v>
      </c>
      <c r="J91">
        <v>47.45</v>
      </c>
      <c r="K91">
        <v>31.79</v>
      </c>
      <c r="L91">
        <v>221117</v>
      </c>
      <c r="M91">
        <v>148141.4</v>
      </c>
      <c r="N91">
        <v>72975.600000000006</v>
      </c>
    </row>
    <row r="92" spans="1:14" x14ac:dyDescent="0.45">
      <c r="A92" t="s">
        <v>27</v>
      </c>
      <c r="B92" t="s">
        <v>83</v>
      </c>
      <c r="C92" t="s">
        <v>25</v>
      </c>
      <c r="D92" t="s">
        <v>16</v>
      </c>
      <c r="E92" t="s">
        <v>17</v>
      </c>
      <c r="F92" s="1">
        <v>42710</v>
      </c>
      <c r="G92">
        <v>621386563</v>
      </c>
      <c r="H92" s="1">
        <v>42718</v>
      </c>
      <c r="I92">
        <v>948</v>
      </c>
      <c r="J92">
        <v>651.21</v>
      </c>
      <c r="K92">
        <v>524.96</v>
      </c>
      <c r="L92">
        <v>617347.07999999996</v>
      </c>
      <c r="M92">
        <v>497662.08</v>
      </c>
      <c r="N92">
        <v>119685</v>
      </c>
    </row>
    <row r="93" spans="1:14" x14ac:dyDescent="0.45">
      <c r="A93" t="s">
        <v>13</v>
      </c>
      <c r="B93" t="s">
        <v>66</v>
      </c>
      <c r="C93" t="s">
        <v>51</v>
      </c>
      <c r="D93" t="s">
        <v>16</v>
      </c>
      <c r="E93" t="s">
        <v>17</v>
      </c>
      <c r="F93" s="1">
        <v>41827</v>
      </c>
      <c r="G93">
        <v>240470397</v>
      </c>
      <c r="H93" s="1">
        <v>41950</v>
      </c>
      <c r="I93">
        <v>9389</v>
      </c>
      <c r="J93">
        <v>47.45</v>
      </c>
      <c r="K93">
        <v>31.79</v>
      </c>
      <c r="L93">
        <v>445508.05</v>
      </c>
      <c r="M93">
        <v>298476.31</v>
      </c>
      <c r="N93">
        <v>147031.74</v>
      </c>
    </row>
    <row r="94" spans="1:14" x14ac:dyDescent="0.45">
      <c r="A94" t="s">
        <v>70</v>
      </c>
      <c r="B94" t="s">
        <v>74</v>
      </c>
      <c r="C94" t="s">
        <v>25</v>
      </c>
      <c r="D94" t="s">
        <v>21</v>
      </c>
      <c r="E94" t="s">
        <v>34</v>
      </c>
      <c r="F94" s="1">
        <v>41073</v>
      </c>
      <c r="G94">
        <v>423331391</v>
      </c>
      <c r="H94" s="1">
        <v>41114</v>
      </c>
      <c r="I94">
        <v>2021</v>
      </c>
      <c r="J94">
        <v>651.21</v>
      </c>
      <c r="K94">
        <v>524.96</v>
      </c>
      <c r="L94">
        <v>1316095.4099999999</v>
      </c>
      <c r="M94">
        <v>1060944.1599999999</v>
      </c>
      <c r="N94">
        <v>255151.25</v>
      </c>
    </row>
    <row r="95" spans="1:14" x14ac:dyDescent="0.45">
      <c r="A95" t="s">
        <v>23</v>
      </c>
      <c r="B95" t="s">
        <v>110</v>
      </c>
      <c r="C95" t="s">
        <v>49</v>
      </c>
      <c r="D95" t="s">
        <v>21</v>
      </c>
      <c r="E95" t="s">
        <v>17</v>
      </c>
      <c r="F95" s="1">
        <v>40508</v>
      </c>
      <c r="G95">
        <v>660643374</v>
      </c>
      <c r="H95" s="1">
        <v>40537</v>
      </c>
      <c r="I95">
        <v>7910</v>
      </c>
      <c r="J95">
        <v>437.2</v>
      </c>
      <c r="K95">
        <v>263.33</v>
      </c>
      <c r="L95">
        <v>3458252</v>
      </c>
      <c r="M95">
        <v>2082940.3</v>
      </c>
      <c r="N95">
        <v>1375311.7</v>
      </c>
    </row>
    <row r="96" spans="1:14" x14ac:dyDescent="0.45">
      <c r="A96" t="s">
        <v>18</v>
      </c>
      <c r="B96" t="s">
        <v>111</v>
      </c>
      <c r="C96" t="s">
        <v>51</v>
      </c>
      <c r="D96" t="s">
        <v>16</v>
      </c>
      <c r="E96" t="s">
        <v>22</v>
      </c>
      <c r="F96" s="1">
        <v>40582</v>
      </c>
      <c r="G96">
        <v>963392674</v>
      </c>
      <c r="H96" s="1">
        <v>40623</v>
      </c>
      <c r="I96">
        <v>8156</v>
      </c>
      <c r="J96">
        <v>47.45</v>
      </c>
      <c r="K96">
        <v>31.79</v>
      </c>
      <c r="L96">
        <v>387002.2</v>
      </c>
      <c r="M96">
        <v>259279.24</v>
      </c>
      <c r="N96">
        <v>127722.96</v>
      </c>
    </row>
    <row r="97" spans="1:14" x14ac:dyDescent="0.45">
      <c r="A97" t="s">
        <v>27</v>
      </c>
      <c r="B97" t="s">
        <v>62</v>
      </c>
      <c r="C97" t="s">
        <v>43</v>
      </c>
      <c r="D97" t="s">
        <v>21</v>
      </c>
      <c r="E97" t="s">
        <v>34</v>
      </c>
      <c r="F97" s="1">
        <v>40750</v>
      </c>
      <c r="G97">
        <v>512878119</v>
      </c>
      <c r="H97" s="1">
        <v>40611</v>
      </c>
      <c r="I97">
        <v>888</v>
      </c>
      <c r="J97">
        <v>109.28</v>
      </c>
      <c r="K97">
        <v>35.840000000000003</v>
      </c>
      <c r="L97">
        <v>97040.639999999999</v>
      </c>
      <c r="M97">
        <v>31825.919999999998</v>
      </c>
      <c r="N97">
        <v>65214.720000000001</v>
      </c>
    </row>
    <row r="98" spans="1:14" x14ac:dyDescent="0.45">
      <c r="A98" t="s">
        <v>40</v>
      </c>
      <c r="B98" t="s">
        <v>112</v>
      </c>
      <c r="C98" t="s">
        <v>29</v>
      </c>
      <c r="D98" t="s">
        <v>16</v>
      </c>
      <c r="E98" t="s">
        <v>26</v>
      </c>
      <c r="F98" s="1">
        <v>40858</v>
      </c>
      <c r="G98">
        <v>810711038</v>
      </c>
      <c r="H98" s="1">
        <v>40905</v>
      </c>
      <c r="I98">
        <v>6267</v>
      </c>
      <c r="J98">
        <v>9.33</v>
      </c>
      <c r="K98">
        <v>6.92</v>
      </c>
      <c r="L98">
        <v>58471.11</v>
      </c>
      <c r="M98">
        <v>43367.64</v>
      </c>
      <c r="N98">
        <v>15103.47</v>
      </c>
    </row>
    <row r="99" spans="1:14" x14ac:dyDescent="0.45">
      <c r="A99" t="s">
        <v>27</v>
      </c>
      <c r="B99" t="s">
        <v>83</v>
      </c>
      <c r="C99" t="s">
        <v>36</v>
      </c>
      <c r="D99" t="s">
        <v>16</v>
      </c>
      <c r="E99" t="s">
        <v>22</v>
      </c>
      <c r="F99" s="1">
        <v>42522</v>
      </c>
      <c r="G99">
        <v>728815257</v>
      </c>
      <c r="H99" s="1">
        <v>42550</v>
      </c>
      <c r="I99">
        <v>1485</v>
      </c>
      <c r="J99">
        <v>154.06</v>
      </c>
      <c r="K99">
        <v>90.93</v>
      </c>
      <c r="L99">
        <v>228779.1</v>
      </c>
      <c r="M99">
        <v>135031.04999999999</v>
      </c>
      <c r="N99">
        <v>93748.05</v>
      </c>
    </row>
    <row r="100" spans="1:14" x14ac:dyDescent="0.45">
      <c r="A100" t="s">
        <v>97</v>
      </c>
      <c r="B100" t="s">
        <v>98</v>
      </c>
      <c r="C100" t="s">
        <v>38</v>
      </c>
      <c r="D100" t="s">
        <v>16</v>
      </c>
      <c r="E100" t="s">
        <v>34</v>
      </c>
      <c r="F100" s="1">
        <v>42215</v>
      </c>
      <c r="G100">
        <v>559427106</v>
      </c>
      <c r="H100" s="1">
        <v>42224</v>
      </c>
      <c r="I100">
        <v>5767</v>
      </c>
      <c r="J100">
        <v>81.73</v>
      </c>
      <c r="K100">
        <v>56.67</v>
      </c>
      <c r="L100">
        <v>471336.91</v>
      </c>
      <c r="M100">
        <v>326815.89</v>
      </c>
      <c r="N100">
        <v>144521.01999999999</v>
      </c>
    </row>
    <row r="101" spans="1:14" x14ac:dyDescent="0.45">
      <c r="A101" t="s">
        <v>27</v>
      </c>
      <c r="B101" t="s">
        <v>113</v>
      </c>
      <c r="C101" t="s">
        <v>33</v>
      </c>
      <c r="D101" t="s">
        <v>16</v>
      </c>
      <c r="E101" t="s">
        <v>26</v>
      </c>
      <c r="F101" s="1">
        <v>40949</v>
      </c>
      <c r="G101">
        <v>665095412</v>
      </c>
      <c r="H101" s="1">
        <v>40954</v>
      </c>
      <c r="I101">
        <v>5367</v>
      </c>
      <c r="J101">
        <v>668.27</v>
      </c>
      <c r="K101">
        <v>502.54</v>
      </c>
      <c r="L101">
        <v>3586605.09</v>
      </c>
      <c r="M101">
        <v>2697132.18</v>
      </c>
      <c r="N101">
        <v>889472.91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1D8C-702E-4140-BB4B-F6971D423AAA}">
  <dimension ref="A1:S2"/>
  <sheetViews>
    <sheetView showGridLines="0" tabSelected="1" zoomScale="88" workbookViewId="0">
      <selection activeCell="U10" sqref="U10"/>
    </sheetView>
  </sheetViews>
  <sheetFormatPr defaultRowHeight="14.25" x14ac:dyDescent="0.45"/>
  <cols>
    <col min="1" max="1" width="14.59765625" bestFit="1" customWidth="1"/>
    <col min="2" max="2" width="13.59765625" bestFit="1" customWidth="1"/>
    <col min="4" max="4" width="11.06640625" bestFit="1" customWidth="1"/>
  </cols>
  <sheetData>
    <row r="1" spans="1:19" x14ac:dyDescent="0.45">
      <c r="A1" s="7">
        <f>SUM(Sheet!L2:L101)</f>
        <v>137348768.30999997</v>
      </c>
      <c r="B1" s="7">
        <f>SUM(Sheet!N:N)</f>
        <v>44168198.399999991</v>
      </c>
      <c r="C1">
        <f>COUNTA(Sheet!G:G)-1</f>
        <v>100</v>
      </c>
      <c r="D1" s="7">
        <f>SUM(Sheet!I:I)</f>
        <v>512871</v>
      </c>
    </row>
    <row r="2" spans="1:19" x14ac:dyDescent="0.45">
      <c r="S2" t="str">
        <f ca="1">"Last Updated:"&amp;TEXT(TODAY(),"mmmm-yyyy")</f>
        <v>Last Updated:July-2026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Chand</cp:lastModifiedBy>
  <dcterms:created xsi:type="dcterms:W3CDTF">2026-07-04T16:29:35Z</dcterms:created>
  <dcterms:modified xsi:type="dcterms:W3CDTF">2026-07-22T16:43:14Z</dcterms:modified>
</cp:coreProperties>
</file>